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ger" sheetId="1" r:id="rId4"/>
    <sheet state="visible" name="Cash Flow" sheetId="2" r:id="rId5"/>
    <sheet state="visible" name="Cash Flow reference" sheetId="3" r:id="rId6"/>
    <sheet state="visible" name="Price List" sheetId="4" r:id="rId7"/>
  </sheets>
  <definedNames>
    <definedName hidden="1" localSheetId="0" name="_xlnm._FilterDatabase">Ledger!$A$6:$J$208</definedName>
  </definedNames>
  <calcPr/>
  <extLst>
    <ext uri="GoogleSheetsCustomDataVersion2">
      <go:sheetsCustomData xmlns:go="http://customooxmlschemas.google.com/" r:id="rId8" roundtripDataChecksum="gBQQUmZUCrEf9z1xHVjHKITnnGjp+e8AloZFa5qPK40="/>
    </ext>
  </extLst>
</workbook>
</file>

<file path=xl/sharedStrings.xml><?xml version="1.0" encoding="utf-8"?>
<sst xmlns="http://schemas.openxmlformats.org/spreadsheetml/2006/main" count="320" uniqueCount="134">
  <si>
    <t>RDK TRADING PTE LTD</t>
  </si>
  <si>
    <t>Week day Rent</t>
  </si>
  <si>
    <t>WeekEnd Rent</t>
  </si>
  <si>
    <t>Weekly Rent</t>
  </si>
  <si>
    <t>Cash Flow Forecast</t>
  </si>
  <si>
    <r>
      <rPr>
        <rFont val="Calibri, sans-serif"/>
        <b/>
        <color rgb="FF000000"/>
        <sz val="11.0"/>
      </rPr>
      <t xml:space="preserve">UEN: </t>
    </r>
    <r>
      <rPr>
        <rFont val="Calibri, sans-serif"/>
        <b val="0"/>
        <color rgb="FF000000"/>
        <sz val="11.0"/>
      </rPr>
      <t>202416072K</t>
    </r>
  </si>
  <si>
    <t>Monthly Rent</t>
  </si>
  <si>
    <t>3 Month Rent</t>
  </si>
  <si>
    <t>Per day</t>
  </si>
  <si>
    <t>Week days</t>
  </si>
  <si>
    <t xml:space="preserve"> </t>
  </si>
  <si>
    <t>Week End</t>
  </si>
  <si>
    <t>GBG3124X</t>
  </si>
  <si>
    <r>
      <rPr>
        <rFont val="Calibri, sans-serif"/>
        <b/>
        <color rgb="FF000000"/>
        <sz val="11.0"/>
      </rPr>
      <t>Mobile:</t>
    </r>
    <r>
      <rPr>
        <rFont val="Calibri, sans-serif"/>
        <color rgb="FF000000"/>
        <sz val="11.0"/>
      </rPr>
      <t xml:space="preserve"> 84605545</t>
    </r>
  </si>
  <si>
    <t>KIA K2500</t>
  </si>
  <si>
    <r>
      <rPr>
        <rFont val="Calibri"/>
        <b/>
        <color rgb="FF000000"/>
        <sz val="11.0"/>
      </rPr>
      <t xml:space="preserve">Email: </t>
    </r>
    <r>
      <rPr>
        <rFont val="Calibri"/>
        <b val="0"/>
        <color rgb="FF000000"/>
        <sz val="11.0"/>
      </rPr>
      <t>RDKtrading1995@gmail.com</t>
    </r>
  </si>
  <si>
    <t>Monday</t>
  </si>
  <si>
    <t>Friday</t>
  </si>
  <si>
    <t>GBG0878Z</t>
  </si>
  <si>
    <t>NV200GBG878</t>
  </si>
  <si>
    <r>
      <rPr>
        <rFont val="Calibri, sans-serif"/>
        <b/>
        <color rgb="FF000000"/>
        <sz val="11.0"/>
      </rPr>
      <t xml:space="preserve">Address: </t>
    </r>
    <r>
      <rPr>
        <rFont val="Calibri, sans-serif"/>
        <color rgb="FF000000"/>
        <sz val="11.0"/>
      </rPr>
      <t>RDK Trading Pte. Ltd, 81 UBI Avenue 4, #11-22 UB. HBE, Singapore 408830</t>
    </r>
  </si>
  <si>
    <t>Tuesday</t>
  </si>
  <si>
    <t>Saturday</t>
  </si>
  <si>
    <t>GBG3362A</t>
  </si>
  <si>
    <t>Starting cash on hand</t>
  </si>
  <si>
    <t>Berlingo</t>
  </si>
  <si>
    <t>$60 / $65</t>
  </si>
  <si>
    <t>S.No</t>
  </si>
  <si>
    <t>Diesel</t>
  </si>
  <si>
    <t>Wednesday</t>
  </si>
  <si>
    <t>Sunday</t>
  </si>
  <si>
    <t>Starting date</t>
  </si>
  <si>
    <t>Date</t>
  </si>
  <si>
    <t>GBF8503H</t>
  </si>
  <si>
    <t>NV200 AUTO</t>
  </si>
  <si>
    <t>Vehicle</t>
  </si>
  <si>
    <t>Model</t>
  </si>
  <si>
    <t>Cash minimum balance alert</t>
  </si>
  <si>
    <t>Description</t>
  </si>
  <si>
    <t>Credit</t>
  </si>
  <si>
    <t>Debit</t>
  </si>
  <si>
    <t>Balance</t>
  </si>
  <si>
    <t>Thursday</t>
  </si>
  <si>
    <t>Attachments</t>
  </si>
  <si>
    <t>Deposit</t>
  </si>
  <si>
    <t>Remarks</t>
  </si>
  <si>
    <t>Singaporian</t>
  </si>
  <si>
    <t>Foreigner</t>
  </si>
  <si>
    <t>Invesment</t>
  </si>
  <si>
    <t>Investment (VASANTH)</t>
  </si>
  <si>
    <t>Address</t>
  </si>
  <si>
    <t>Clementi</t>
  </si>
  <si>
    <t>325 Clementi Ave 5, Singapore 120325</t>
  </si>
  <si>
    <t>Ubi area</t>
  </si>
  <si>
    <t>301 Ubi Ave 1, Block 301, Singapore 400301</t>
  </si>
  <si>
    <t>Lakeside MRT</t>
  </si>
  <si>
    <t>517B Jurong West Street 42, Singapore 642517</t>
  </si>
  <si>
    <t>Eunos</t>
  </si>
  <si>
    <t>2 Eunos Cres, Singapore 400002</t>
  </si>
  <si>
    <t>🔗 View File</t>
  </si>
  <si>
    <t>Vasanth</t>
  </si>
  <si>
    <t>KIA K2500 6M/T</t>
  </si>
  <si>
    <t>Expenses</t>
  </si>
  <si>
    <t>Lorry Purchase (12 Jul 2027)</t>
  </si>
  <si>
    <t>Total</t>
  </si>
  <si>
    <t>Cash on hand (beginning of month)</t>
  </si>
  <si>
    <t>Inspection</t>
  </si>
  <si>
    <t>Cash receipts</t>
  </si>
  <si>
    <t>Insurance</t>
  </si>
  <si>
    <t>Road Tax &amp; Transfer fee</t>
  </si>
  <si>
    <t xml:space="preserve">Vehicle number </t>
  </si>
  <si>
    <t>Rental Revenue</t>
  </si>
  <si>
    <t>COE</t>
  </si>
  <si>
    <t>Deposit IN</t>
  </si>
  <si>
    <t>9 Jul- Aug Jul</t>
  </si>
  <si>
    <t>Internal Sticker</t>
  </si>
  <si>
    <t>Rental</t>
  </si>
  <si>
    <t>By cash</t>
  </si>
  <si>
    <t>Fuel</t>
  </si>
  <si>
    <t>Jul 09 - Aug 09</t>
  </si>
  <si>
    <t>Raman Kannadasan</t>
  </si>
  <si>
    <t>Purchase (31 May 2027)</t>
  </si>
  <si>
    <t>Lek Auto Pte Ltd</t>
  </si>
  <si>
    <t xml:space="preserve">GBG878Z </t>
  </si>
  <si>
    <t>Total cash available</t>
  </si>
  <si>
    <t>PR Payment (Properator)</t>
  </si>
  <si>
    <t>Jun &amp; Jul</t>
  </si>
  <si>
    <t>LTA Fee</t>
  </si>
  <si>
    <t>New Vehicle Advance Paid</t>
  </si>
  <si>
    <t>Purchase (23 Jul 2027)</t>
  </si>
  <si>
    <t>(Insurance pay back $80)</t>
  </si>
  <si>
    <t>Deposit (16&amp;18/07)</t>
  </si>
  <si>
    <t xml:space="preserve">16-18/07/26 </t>
  </si>
  <si>
    <t>Rental (16&amp;18/07)</t>
  </si>
  <si>
    <t>Sherwin Shashi</t>
  </si>
  <si>
    <t>Deposit (20/07 to 23/07)</t>
  </si>
  <si>
    <t>20-23Jul</t>
  </si>
  <si>
    <t xml:space="preserve">New Investment (JAMES) </t>
  </si>
  <si>
    <t>James Investment - 1</t>
  </si>
  <si>
    <t>LTA Transfer</t>
  </si>
  <si>
    <t>Rental (19-20Jul)</t>
  </si>
  <si>
    <t>2 Payments (19-20Jul)</t>
  </si>
  <si>
    <t>Mohammed Fairul Bin Abdul Hamit</t>
  </si>
  <si>
    <t>Depsot</t>
  </si>
  <si>
    <t>Car Parking fee</t>
  </si>
  <si>
    <t>Purchase Cost   (23 Mar 2027)</t>
  </si>
  <si>
    <t>New Investment (JAMES) - 2nd time</t>
  </si>
  <si>
    <t>James Investment -2</t>
  </si>
  <si>
    <t>Rental (20/07 to 23/07)</t>
  </si>
  <si>
    <t>Deposit OUT</t>
  </si>
  <si>
    <t>Deposit Return back</t>
  </si>
  <si>
    <t>Deposit(3Month contract)</t>
  </si>
  <si>
    <t>3 month con (23Jul - .....)</t>
  </si>
  <si>
    <t>21-28 Jul</t>
  </si>
  <si>
    <t>Rental (21-28/07)</t>
  </si>
  <si>
    <t>3 month contract</t>
  </si>
  <si>
    <t>Carousel Advertisement</t>
  </si>
  <si>
    <t>Fuel by customer</t>
  </si>
  <si>
    <t>Customer paid for fuel</t>
  </si>
  <si>
    <t>20-23/07/26</t>
  </si>
  <si>
    <t>Rental (23Jul - 22Aug)</t>
  </si>
  <si>
    <t>Sharvin Jay Nair</t>
  </si>
  <si>
    <t>Registration (L Consultancy)</t>
  </si>
  <si>
    <t>30 Jul - 4 Aug</t>
  </si>
  <si>
    <t>New Investment (Thamarai)</t>
  </si>
  <si>
    <t>Thamarai Investment</t>
  </si>
  <si>
    <t>By Exporter</t>
  </si>
  <si>
    <t>1st Export lorry</t>
  </si>
  <si>
    <t>Rental (28-04/08)</t>
  </si>
  <si>
    <t>Extension for 1 week</t>
  </si>
  <si>
    <t>Peugeot</t>
  </si>
  <si>
    <t>03/08 - 1 day</t>
  </si>
  <si>
    <t xml:space="preserve">Salary </t>
  </si>
  <si>
    <t>Maintanance //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</si>
</sst>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[$$]#,##0.00"/>
    <numFmt numFmtId="166" formatCode="mmm\ yyyy"/>
    <numFmt numFmtId="167" formatCode="d&quot;-&quot;mmm&quot;-&quot;yyyy"/>
    <numFmt numFmtId="168" formatCode="\$#,##0.00"/>
    <numFmt numFmtId="169" formatCode="d-mmm-yyyy"/>
    <numFmt numFmtId="170" formatCode="[$-14009]yyyy/mm/dd"/>
  </numFmts>
  <fonts count="24">
    <font>
      <sz val="11.0"/>
      <color theme="1"/>
      <name val="Calibri"/>
      <scheme val="minor"/>
    </font>
    <font>
      <sz val="11.0"/>
      <color theme="1"/>
      <name val="Libre Franklin"/>
    </font>
    <font>
      <sz val="11.0"/>
      <color rgb="FF000000"/>
      <name val="Calibri"/>
    </font>
    <font>
      <b/>
      <sz val="42.0"/>
      <color theme="1"/>
      <name val="Libre Franklin"/>
    </font>
    <font/>
    <font>
      <b/>
      <sz val="24.0"/>
      <color rgb="FF000000"/>
      <name val="Calibri"/>
    </font>
    <font>
      <b/>
      <color theme="1"/>
      <name val="Calibri"/>
      <scheme val="minor"/>
    </font>
    <font>
      <color theme="1"/>
      <name val="Calibri"/>
    </font>
    <font>
      <b/>
      <sz val="11.0"/>
      <color rgb="FF000000"/>
      <name val="Calibri"/>
    </font>
    <font>
      <b/>
      <i/>
      <sz val="35.0"/>
      <color theme="1"/>
      <name val="Libre Franklin"/>
    </font>
    <font>
      <color theme="1"/>
      <name val="Calibri"/>
      <scheme val="minor"/>
    </font>
    <font>
      <color theme="1"/>
      <name val="Libre Franklin"/>
    </font>
    <font>
      <sz val="9.0"/>
      <color rgb="FF000000"/>
      <name val="Lato-Regular"/>
    </font>
    <font>
      <b/>
      <color theme="1"/>
      <name val="Libre Franklin"/>
    </font>
    <font>
      <b/>
      <color rgb="FFFFFFFF"/>
      <name val="Libre Franklin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22.0"/>
      <color rgb="FFFFFFFF"/>
      <name val="Calibri"/>
    </font>
    <font>
      <u/>
      <sz val="11.0"/>
      <color rgb="FF0000FF"/>
      <name val="Calibri"/>
    </font>
    <font>
      <b/>
      <sz val="14.0"/>
      <color rgb="FF256CB3"/>
      <name val="Franklin Gothic"/>
    </font>
    <font>
      <u/>
      <color rgb="FF0000FF"/>
    </font>
    <font>
      <b/>
      <color theme="1"/>
      <name val="Calibri"/>
    </font>
    <font>
      <b/>
      <color rgb="FF44546A"/>
      <name val="Libre Franklin"/>
    </font>
    <font>
      <b/>
      <sz val="14.0"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DE8"/>
        <bgColor rgb="FFB6DDE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8FBFE"/>
        <bgColor rgb="FFF8FBFE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C0D9F2"/>
        <bgColor rgb="FFC0D9F2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38">
    <border/>
    <border>
      <left style="thin">
        <color rgb="FF000000"/>
      </left>
      <top style="thin">
        <color rgb="FF000000"/>
      </top>
    </border>
    <border>
      <left/>
      <top/>
      <bottom/>
    </border>
    <border>
      <top style="thin">
        <color rgb="FF000000"/>
      </top>
    </border>
    <border>
      <top/>
      <bottom/>
    </border>
    <border>
      <right/>
      <top/>
      <bottom/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256CB3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 style="thin">
        <color theme="0"/>
      </right>
      <bottom/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theme="0"/>
      </left>
      <right style="thin">
        <color theme="0"/>
      </right>
      <bottom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right style="thin">
        <color rgb="FFD6DCE4"/>
      </right>
      <top style="thin">
        <color rgb="FFD6DCE4"/>
      </top>
    </border>
    <border>
      <left/>
      <right style="thin">
        <color rgb="FFD6DCE4"/>
      </right>
      <top style="thin">
        <color rgb="FFD6DCE4"/>
      </top>
      <bottom style="thin">
        <color theme="0"/>
      </bottom>
    </border>
    <border>
      <right style="thin">
        <color rgb="FFD6DCE4"/>
      </right>
    </border>
    <border>
      <left/>
      <right style="thin">
        <color rgb="FFD6DCE4"/>
      </right>
      <top style="thin">
        <color theme="0"/>
      </top>
      <bottom style="thin">
        <color theme="0"/>
      </bottom>
    </border>
    <border>
      <left style="thin">
        <color rgb="FFD6DCE4"/>
      </left>
      <right style="thin">
        <color theme="0"/>
      </right>
      <top style="thin">
        <color theme="0"/>
      </top>
      <bottom style="thin">
        <color rgb="FFD6DCE4"/>
      </bottom>
    </border>
    <border>
      <top style="thin">
        <color theme="0"/>
      </top>
      <bottom style="thin">
        <color rgb="FFD6DCE4"/>
      </bottom>
    </border>
    <border>
      <left style="thin">
        <color theme="0"/>
      </left>
      <right style="thin">
        <color rgb="FFD6DCE4"/>
      </right>
      <top style="thin">
        <color theme="0"/>
      </top>
      <bottom style="thin">
        <color rgb="FFD6DCE4"/>
      </bottom>
    </border>
    <border>
      <left style="thin">
        <color rgb="FFD6DCE4"/>
      </left>
      <bottom style="thin">
        <color rgb="FFD6DCE4"/>
      </bottom>
    </border>
    <border>
      <right style="thin">
        <color rgb="FFD6DCE4"/>
      </right>
      <top style="thin">
        <color theme="0"/>
      </top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horizontal="center" vertical="bottom"/>
    </xf>
    <xf borderId="3" fillId="2" fontId="2" numFmtId="0" xfId="0" applyAlignment="1" applyBorder="1" applyFont="1">
      <alignment shrinkToFit="0" vertical="bottom" wrapText="0"/>
    </xf>
    <xf borderId="4" fillId="0" fontId="4" numFmtId="0" xfId="0" applyBorder="1" applyFont="1"/>
    <xf borderId="3" fillId="2" fontId="5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shrinkToFit="0" vertical="bottom" wrapText="0"/>
    </xf>
    <xf borderId="5" fillId="0" fontId="4" numFmtId="0" xfId="0" applyBorder="1" applyFont="1"/>
    <xf borderId="6" fillId="2" fontId="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7" fillId="4" fontId="6" numFmtId="0" xfId="0" applyAlignment="1" applyBorder="1" applyFill="1" applyFont="1">
      <alignment readingOrder="0"/>
    </xf>
    <xf borderId="3" fillId="5" fontId="7" numFmtId="0" xfId="0" applyBorder="1" applyFill="1" applyFont="1"/>
    <xf borderId="8" fillId="2" fontId="8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horizontal="center" vertical="top"/>
    </xf>
    <xf borderId="9" fillId="2" fontId="2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/>
    </xf>
    <xf borderId="0" fillId="2" fontId="2" numFmtId="0" xfId="0" applyAlignment="1" applyFont="1">
      <alignment shrinkToFit="0" vertical="bottom" wrapText="0"/>
    </xf>
    <xf borderId="10" fillId="6" fontId="10" numFmtId="0" xfId="0" applyAlignment="1" applyBorder="1" applyFill="1" applyFont="1">
      <alignment readingOrder="0"/>
    </xf>
    <xf borderId="0" fillId="2" fontId="5" numFmtId="0" xfId="0" applyAlignment="1" applyFont="1">
      <alignment horizontal="center" shrinkToFit="0" vertical="bottom" wrapText="0"/>
    </xf>
    <xf borderId="0" fillId="0" fontId="11" numFmtId="0" xfId="0" applyFont="1"/>
    <xf borderId="7" fillId="6" fontId="10" numFmtId="0" xfId="0" applyAlignment="1" applyBorder="1" applyFont="1">
      <alignment readingOrder="0"/>
    </xf>
    <xf borderId="0" fillId="5" fontId="7" numFmtId="0" xfId="0" applyFont="1"/>
    <xf borderId="11" fillId="2" fontId="2" numFmtId="0" xfId="0" applyAlignment="1" applyBorder="1" applyFont="1">
      <alignment shrinkToFit="0" vertical="bottom" wrapText="0"/>
    </xf>
    <xf borderId="7" fillId="6" fontId="2" numFmtId="0" xfId="0" applyAlignment="1" applyBorder="1" applyFont="1">
      <alignment readingOrder="0" shrinkToFit="0" vertical="bottom" wrapText="0"/>
    </xf>
    <xf borderId="0" fillId="0" fontId="1" numFmtId="164" xfId="0" applyFont="1" applyNumberFormat="1"/>
    <xf borderId="0" fillId="2" fontId="8" numFmtId="0" xfId="0" applyAlignment="1" applyFont="1">
      <alignment shrinkToFit="0" vertical="bottom" wrapText="0"/>
    </xf>
    <xf borderId="7" fillId="0" fontId="10" numFmtId="165" xfId="0" applyAlignment="1" applyBorder="1" applyFont="1" applyNumberFormat="1">
      <alignment readingOrder="0"/>
    </xf>
    <xf borderId="7" fillId="0" fontId="10" numFmtId="165" xfId="0" applyBorder="1" applyFont="1" applyNumberFormat="1"/>
    <xf borderId="11" fillId="2" fontId="8" numFmtId="0" xfId="0" applyAlignment="1" applyBorder="1" applyFont="1">
      <alignment readingOrder="0" shrinkToFit="0" vertical="bottom" wrapText="0"/>
    </xf>
    <xf borderId="7" fillId="0" fontId="10" numFmtId="165" xfId="0" applyBorder="1" applyFont="1" applyNumberFormat="1"/>
    <xf borderId="7" fillId="0" fontId="10" numFmtId="0" xfId="0" applyAlignment="1" applyBorder="1" applyFont="1">
      <alignment readingOrder="0"/>
    </xf>
    <xf borderId="11" fillId="2" fontId="2" numFmtId="0" xfId="0" applyAlignment="1" applyBorder="1" applyFont="1">
      <alignment horizontal="left" shrinkToFit="0" vertical="bottom" wrapText="1"/>
    </xf>
    <xf borderId="12" fillId="2" fontId="2" numFmtId="0" xfId="0" applyAlignment="1" applyBorder="1" applyFont="1">
      <alignment shrinkToFit="0" vertical="bottom" wrapText="0"/>
    </xf>
    <xf borderId="7" fillId="0" fontId="10" numFmtId="165" xfId="0" applyAlignment="1" applyBorder="1" applyFont="1" applyNumberFormat="1">
      <alignment readingOrder="0"/>
    </xf>
    <xf borderId="13" fillId="2" fontId="2" numFmtId="0" xfId="0" applyAlignment="1" applyBorder="1" applyFont="1">
      <alignment shrinkToFit="0" vertical="bottom" wrapText="0"/>
    </xf>
    <xf borderId="7" fillId="6" fontId="12" numFmtId="0" xfId="0" applyAlignment="1" applyBorder="1" applyFont="1">
      <alignment readingOrder="0"/>
    </xf>
    <xf borderId="0" fillId="7" fontId="13" numFmtId="164" xfId="0" applyAlignment="1" applyFill="1" applyFont="1" applyNumberFormat="1">
      <alignment horizontal="center"/>
    </xf>
    <xf borderId="14" fillId="2" fontId="2" numFmtId="0" xfId="0" applyAlignment="1" applyBorder="1" applyFont="1">
      <alignment shrinkToFit="0" vertical="bottom" wrapText="0"/>
    </xf>
    <xf borderId="15" fillId="7" fontId="13" numFmtId="164" xfId="0" applyAlignment="1" applyBorder="1" applyFont="1" applyNumberFormat="1">
      <alignment horizontal="center"/>
    </xf>
    <xf borderId="16" fillId="8" fontId="8" numFmtId="0" xfId="0" applyAlignment="1" applyBorder="1" applyFill="1" applyFont="1">
      <alignment horizontal="center" shrinkToFit="0" vertical="bottom" wrapText="0"/>
    </xf>
    <xf borderId="17" fillId="8" fontId="8" numFmtId="0" xfId="0" applyAlignment="1" applyBorder="1" applyFont="1">
      <alignment horizontal="center" shrinkToFit="0" vertical="bottom" wrapText="0"/>
    </xf>
    <xf borderId="15" fillId="7" fontId="13" numFmtId="166" xfId="0" applyAlignment="1" applyBorder="1" applyFont="1" applyNumberFormat="1">
      <alignment horizontal="center"/>
    </xf>
    <xf borderId="7" fillId="8" fontId="8" numFmtId="0" xfId="0" applyAlignment="1" applyBorder="1" applyFont="1">
      <alignment horizontal="center" shrinkToFit="0" vertical="bottom" wrapText="0"/>
    </xf>
    <xf borderId="18" fillId="4" fontId="6" numFmtId="0" xfId="0" applyAlignment="1" applyBorder="1" applyFont="1">
      <alignment horizontal="center" readingOrder="0"/>
    </xf>
    <xf borderId="7" fillId="8" fontId="10" numFmtId="0" xfId="0" applyAlignment="1" applyBorder="1" applyFont="1">
      <alignment readingOrder="0"/>
    </xf>
    <xf borderId="19" fillId="0" fontId="1" numFmtId="0" xfId="0" applyBorder="1" applyFont="1"/>
    <xf borderId="20" fillId="9" fontId="2" numFmtId="0" xfId="0" applyAlignment="1" applyBorder="1" applyFill="1" applyFont="1">
      <alignment horizontal="right" shrinkToFit="0" vertical="bottom" wrapText="0"/>
    </xf>
    <xf borderId="19" fillId="0" fontId="1" numFmtId="164" xfId="0" applyBorder="1" applyFont="1" applyNumberFormat="1"/>
    <xf borderId="21" fillId="0" fontId="4" numFmtId="0" xfId="0" applyBorder="1" applyFont="1"/>
    <xf borderId="22" fillId="9" fontId="2" numFmtId="167" xfId="0" applyAlignment="1" applyBorder="1" applyFont="1" applyNumberFormat="1">
      <alignment horizontal="right" shrinkToFit="0" vertical="bottom" wrapText="0"/>
    </xf>
    <xf borderId="22" fillId="9" fontId="2" numFmtId="0" xfId="0" applyAlignment="1" applyBorder="1" applyFont="1">
      <alignment shrinkToFit="0" vertical="bottom" wrapText="0"/>
    </xf>
    <xf borderId="19" fillId="0" fontId="1" numFmtId="166" xfId="0" applyBorder="1" applyFont="1" applyNumberFormat="1"/>
    <xf borderId="22" fillId="9" fontId="2" numFmtId="0" xfId="0" applyAlignment="1" applyBorder="1" applyFont="1">
      <alignment readingOrder="0" shrinkToFit="0" vertical="bottom" wrapText="0"/>
    </xf>
    <xf borderId="22" fillId="10" fontId="2" numFmtId="168" xfId="0" applyAlignment="1" applyBorder="1" applyFill="1" applyFont="1" applyNumberFormat="1">
      <alignment horizontal="right" readingOrder="0" shrinkToFit="0" vertical="bottom" wrapText="0"/>
    </xf>
    <xf borderId="16" fillId="11" fontId="6" numFmtId="0" xfId="0" applyAlignment="1" applyBorder="1" applyFill="1" applyFont="1">
      <alignment horizontal="center" readingOrder="0"/>
    </xf>
    <xf borderId="22" fillId="9" fontId="2" numFmtId="168" xfId="0" applyAlignment="1" applyBorder="1" applyFont="1" applyNumberFormat="1">
      <alignment shrinkToFit="0" vertical="bottom" wrapText="0"/>
    </xf>
    <xf borderId="17" fillId="0" fontId="4" numFmtId="0" xfId="0" applyBorder="1" applyFont="1"/>
    <xf borderId="10" fillId="0" fontId="4" numFmtId="0" xfId="0" applyBorder="1" applyFont="1"/>
    <xf borderId="7" fillId="11" fontId="10" numFmtId="0" xfId="0" applyAlignment="1" applyBorder="1" applyFont="1">
      <alignment readingOrder="0"/>
    </xf>
    <xf borderId="16" fillId="0" fontId="10" numFmtId="0" xfId="0" applyAlignment="1" applyBorder="1" applyFont="1">
      <alignment readingOrder="0"/>
    </xf>
    <xf borderId="22" fillId="9" fontId="2" numFmtId="168" xfId="0" applyAlignment="1" applyBorder="1" applyFont="1" applyNumberFormat="1">
      <alignment horizontal="right" readingOrder="0" shrinkToFit="0" vertical="bottom" wrapText="0"/>
    </xf>
    <xf borderId="0" fillId="12" fontId="14" numFmtId="166" xfId="0" applyAlignment="1" applyFill="1" applyFont="1" applyNumberFormat="1">
      <alignment horizontal="center"/>
    </xf>
    <xf borderId="7" fillId="12" fontId="14" numFmtId="166" xfId="0" applyAlignment="1" applyBorder="1" applyFont="1" applyNumberFormat="1">
      <alignment horizontal="center"/>
    </xf>
    <xf borderId="23" fillId="9" fontId="15" numFmtId="0" xfId="0" applyAlignment="1" applyBorder="1" applyFont="1">
      <alignment horizontal="center" readingOrder="0" shrinkToFit="0" vertical="bottom" wrapText="0"/>
    </xf>
    <xf borderId="24" fillId="0" fontId="2" numFmtId="0" xfId="0" applyAlignment="1" applyBorder="1" applyFont="1">
      <alignment horizontal="right" shrinkToFit="0" vertical="bottom" wrapText="0"/>
    </xf>
    <xf borderId="24" fillId="0" fontId="2" numFmtId="167" xfId="0" applyAlignment="1" applyBorder="1" applyFont="1" applyNumberFormat="1">
      <alignment horizontal="right" shrinkToFit="0" vertical="bottom" wrapText="0"/>
    </xf>
    <xf borderId="24" fillId="0" fontId="2" numFmtId="0" xfId="0" applyAlignment="1" applyBorder="1" applyFont="1">
      <alignment shrinkToFit="0" vertical="bottom" wrapText="0"/>
    </xf>
    <xf borderId="24" fillId="0" fontId="2" numFmtId="0" xfId="0" applyAlignment="1" applyBorder="1" applyFont="1">
      <alignment readingOrder="0" shrinkToFit="0" vertical="bottom" wrapText="0"/>
    </xf>
    <xf borderId="24" fillId="0" fontId="2" numFmtId="168" xfId="0" applyAlignment="1" applyBorder="1" applyFont="1" applyNumberFormat="1">
      <alignment shrinkToFit="0" vertical="bottom" wrapText="0"/>
    </xf>
    <xf borderId="24" fillId="13" fontId="2" numFmtId="168" xfId="0" applyAlignment="1" applyBorder="1" applyFill="1" applyFont="1" applyNumberFormat="1">
      <alignment horizontal="right" shrinkToFit="0" vertical="bottom" wrapText="0"/>
    </xf>
    <xf borderId="24" fillId="0" fontId="2" numFmtId="168" xfId="0" applyAlignment="1" applyBorder="1" applyFont="1" applyNumberFormat="1">
      <alignment horizontal="right" shrinkToFit="0" vertical="bottom" wrapText="0"/>
    </xf>
    <xf borderId="18" fillId="12" fontId="14" numFmtId="164" xfId="0" applyAlignment="1" applyBorder="1" applyFont="1" applyNumberFormat="1">
      <alignment horizontal="center"/>
    </xf>
    <xf borderId="0" fillId="0" fontId="13" numFmtId="0" xfId="0" applyFont="1"/>
    <xf borderId="0" fillId="14" fontId="11" numFmtId="164" xfId="0" applyAlignment="1" applyFill="1" applyFont="1" applyNumberFormat="1">
      <alignment horizontal="center"/>
    </xf>
    <xf borderId="25" fillId="14" fontId="11" numFmtId="164" xfId="0" applyAlignment="1" applyBorder="1" applyFont="1" applyNumberFormat="1">
      <alignment horizontal="center"/>
    </xf>
    <xf borderId="26" fillId="0" fontId="16" numFmtId="0" xfId="0" applyAlignment="1" applyBorder="1" applyFont="1">
      <alignment horizontal="center" readingOrder="0" shrinkToFit="0" vertical="bottom" wrapText="0"/>
    </xf>
    <xf borderId="7" fillId="0" fontId="10" numFmtId="0" xfId="0" applyBorder="1" applyFont="1"/>
    <xf borderId="0" fillId="15" fontId="17" numFmtId="0" xfId="0" applyAlignment="1" applyFill="1" applyFont="1">
      <alignment horizontal="center"/>
    </xf>
    <xf borderId="27" fillId="14" fontId="1" numFmtId="164" xfId="0" applyAlignment="1" applyBorder="1" applyFont="1" applyNumberFormat="1">
      <alignment readingOrder="0"/>
    </xf>
    <xf borderId="27" fillId="14" fontId="1" numFmtId="164" xfId="0" applyBorder="1" applyFont="1" applyNumberFormat="1"/>
    <xf borderId="24" fillId="9" fontId="2" numFmtId="0" xfId="0" applyAlignment="1" applyBorder="1" applyFont="1">
      <alignment horizontal="right" shrinkToFit="0" vertical="bottom" wrapText="0"/>
    </xf>
    <xf borderId="24" fillId="9" fontId="2" numFmtId="167" xfId="0" applyAlignment="1" applyBorder="1" applyFont="1" applyNumberFormat="1">
      <alignment horizontal="right" shrinkToFit="0" vertical="bottom" wrapText="0"/>
    </xf>
    <xf borderId="24" fillId="9" fontId="2" numFmtId="0" xfId="0" applyAlignment="1" applyBorder="1" applyFont="1">
      <alignment shrinkToFit="0" vertical="bottom" wrapText="0"/>
    </xf>
    <xf borderId="24" fillId="9" fontId="2" numFmtId="168" xfId="0" applyAlignment="1" applyBorder="1" applyFont="1" applyNumberFormat="1">
      <alignment shrinkToFit="0" vertical="bottom" wrapText="0"/>
    </xf>
    <xf borderId="24" fillId="9" fontId="2" numFmtId="168" xfId="0" applyAlignment="1" applyBorder="1" applyFont="1" applyNumberFormat="1">
      <alignment horizontal="right" shrinkToFit="0" vertical="bottom" wrapText="0"/>
    </xf>
    <xf borderId="26" fillId="9" fontId="18" numFmtId="0" xfId="0" applyAlignment="1" applyBorder="1" applyFont="1">
      <alignment horizontal="center" readingOrder="0" shrinkToFit="0" vertical="bottom" wrapText="0"/>
    </xf>
    <xf borderId="19" fillId="0" fontId="19" numFmtId="0" xfId="0" applyBorder="1" applyFont="1"/>
    <xf borderId="24" fillId="9" fontId="2" numFmtId="167" xfId="0" applyAlignment="1" applyBorder="1" applyFont="1" applyNumberFormat="1">
      <alignment readingOrder="0" shrinkToFit="0" vertical="bottom" wrapText="0"/>
    </xf>
    <xf borderId="24" fillId="9" fontId="2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24" fillId="10" fontId="2" numFmtId="168" xfId="0" applyAlignment="1" applyBorder="1" applyFont="1" applyNumberFormat="1">
      <alignment readingOrder="0" shrinkToFit="0" vertical="bottom" wrapText="0"/>
    </xf>
    <xf borderId="0" fillId="0" fontId="1" numFmtId="169" xfId="0" applyAlignment="1" applyFont="1" applyNumberFormat="1">
      <alignment readingOrder="0"/>
    </xf>
    <xf borderId="28" fillId="0" fontId="1" numFmtId="164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24" fillId="0" fontId="2" numFmtId="167" xfId="0" applyAlignment="1" applyBorder="1" applyFont="1" applyNumberFormat="1">
      <alignment readingOrder="0" shrinkToFit="0" vertical="bottom" wrapText="0"/>
    </xf>
    <xf borderId="29" fillId="0" fontId="11" numFmtId="164" xfId="0" applyAlignment="1" applyBorder="1" applyFont="1" applyNumberFormat="1">
      <alignment horizontal="center"/>
    </xf>
    <xf borderId="24" fillId="0" fontId="2" numFmtId="168" xfId="0" applyAlignment="1" applyBorder="1" applyFont="1" applyNumberFormat="1">
      <alignment readingOrder="0" shrinkToFit="0" vertical="bottom" wrapText="0"/>
    </xf>
    <xf borderId="30" fillId="14" fontId="11" numFmtId="164" xfId="0" applyAlignment="1" applyBorder="1" applyFont="1" applyNumberFormat="1">
      <alignment horizontal="center"/>
    </xf>
    <xf borderId="28" fillId="7" fontId="1" numFmtId="164" xfId="0" applyAlignment="1" applyBorder="1" applyFont="1" applyNumberFormat="1">
      <alignment readingOrder="0"/>
    </xf>
    <xf borderId="0" fillId="0" fontId="20" numFmtId="0" xfId="0" applyAlignment="1" applyFont="1">
      <alignment horizontal="center" readingOrder="0"/>
    </xf>
    <xf borderId="28" fillId="7" fontId="1" numFmtId="164" xfId="0" applyBorder="1" applyFont="1" applyNumberFormat="1"/>
    <xf borderId="0" fillId="13" fontId="11" numFmtId="0" xfId="0" applyAlignment="1" applyFont="1">
      <alignment readingOrder="0"/>
    </xf>
    <xf borderId="0" fillId="13" fontId="1" numFmtId="164" xfId="0" applyAlignment="1" applyFont="1" applyNumberFormat="1">
      <alignment readingOrder="0"/>
    </xf>
    <xf borderId="24" fillId="13" fontId="2" numFmtId="168" xfId="0" applyAlignment="1" applyBorder="1" applyFont="1" applyNumberFormat="1">
      <alignment readingOrder="0" shrinkToFit="0" vertical="bottom" wrapText="0"/>
    </xf>
    <xf borderId="31" fillId="0" fontId="11" numFmtId="164" xfId="0" applyAlignment="1" applyBorder="1" applyFont="1" applyNumberFormat="1">
      <alignment horizontal="center"/>
    </xf>
    <xf borderId="32" fillId="14" fontId="11" numFmtId="164" xfId="0" applyAlignment="1" applyBorder="1" applyFont="1" applyNumberFormat="1">
      <alignment horizontal="center"/>
    </xf>
    <xf borderId="0" fillId="0" fontId="21" numFmtId="0" xfId="0" applyAlignment="1" applyFont="1">
      <alignment horizontal="center"/>
    </xf>
    <xf borderId="28" fillId="0" fontId="1" numFmtId="164" xfId="0" applyBorder="1" applyFont="1" applyNumberFormat="1"/>
    <xf borderId="24" fillId="16" fontId="2" numFmtId="168" xfId="0" applyAlignment="1" applyBorder="1" applyFill="1" applyFont="1" applyNumberFormat="1">
      <alignment readingOrder="0" shrinkToFit="0" vertical="bottom" wrapText="0"/>
    </xf>
    <xf borderId="24" fillId="9" fontId="2" numFmtId="168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horizontal="center" readingOrder="0"/>
    </xf>
    <xf borderId="0" fillId="7" fontId="1" numFmtId="164" xfId="0" applyFont="1" applyNumberFormat="1"/>
    <xf borderId="0" fillId="0" fontId="22" numFmtId="0" xfId="0" applyAlignment="1" applyFont="1">
      <alignment horizontal="right"/>
    </xf>
    <xf borderId="33" fillId="14" fontId="11" numFmtId="164" xfId="0" applyAlignment="1" applyBorder="1" applyFont="1" applyNumberFormat="1">
      <alignment horizontal="center"/>
    </xf>
    <xf borderId="34" fillId="14" fontId="1" numFmtId="164" xfId="0" applyBorder="1" applyFont="1" applyNumberFormat="1"/>
    <xf borderId="35" fillId="14" fontId="1" numFmtId="164" xfId="0" applyBorder="1" applyFont="1" applyNumberFormat="1"/>
    <xf borderId="0" fillId="0" fontId="12" numFmtId="0" xfId="0" applyAlignment="1" applyFont="1">
      <alignment readingOrder="0"/>
    </xf>
    <xf borderId="24" fillId="10" fontId="2" numFmtId="168" xfId="0" applyAlignment="1" applyBorder="1" applyFont="1" applyNumberFormat="1">
      <alignment shrinkToFit="0" vertical="bottom" wrapText="0"/>
    </xf>
    <xf borderId="28" fillId="13" fontId="1" numFmtId="164" xfId="0" applyAlignment="1" applyBorder="1" applyFont="1" applyNumberFormat="1">
      <alignment readingOrder="0"/>
    </xf>
    <xf borderId="26" fillId="0" fontId="2" numFmtId="0" xfId="0" applyAlignment="1" applyBorder="1" applyFont="1">
      <alignment horizontal="center" shrinkToFit="0" vertical="bottom" wrapText="0"/>
    </xf>
    <xf borderId="26" fillId="9" fontId="2" numFmtId="0" xfId="0" applyAlignment="1" applyBorder="1" applyFont="1">
      <alignment horizontal="center" readingOrder="0" shrinkToFit="0" vertical="bottom" wrapText="0"/>
    </xf>
    <xf borderId="0" fillId="0" fontId="10" numFmtId="0" xfId="0" applyFont="1"/>
    <xf borderId="0" fillId="0" fontId="10" numFmtId="168" xfId="0" applyFont="1" applyNumberFormat="1"/>
    <xf borderId="24" fillId="9" fontId="2" numFmtId="167" xfId="0" applyAlignment="1" applyBorder="1" applyFont="1" applyNumberFormat="1">
      <alignment shrinkToFit="0" vertical="bottom" wrapText="0"/>
    </xf>
    <xf borderId="26" fillId="9" fontId="2" numFmtId="0" xfId="0" applyAlignment="1" applyBorder="1" applyFont="1">
      <alignment horizontal="center" shrinkToFit="0" vertical="bottom" wrapText="0"/>
    </xf>
    <xf borderId="24" fillId="0" fontId="2" numFmtId="167" xfId="0" applyAlignment="1" applyBorder="1" applyFont="1" applyNumberFormat="1">
      <alignment shrinkToFit="0" vertical="bottom" wrapText="0"/>
    </xf>
    <xf borderId="0" fillId="0" fontId="22" numFmtId="0" xfId="0" applyAlignment="1" applyFont="1">
      <alignment horizontal="right" readingOrder="0"/>
    </xf>
    <xf borderId="0" fillId="0" fontId="11" numFmtId="164" xfId="0" applyAlignment="1" applyFont="1" applyNumberFormat="1">
      <alignment horizontal="center"/>
    </xf>
    <xf borderId="36" fillId="0" fontId="11" numFmtId="164" xfId="0" applyAlignment="1" applyBorder="1" applyFont="1" applyNumberFormat="1">
      <alignment horizontal="center" readingOrder="0"/>
    </xf>
    <xf borderId="37" fillId="14" fontId="1" numFmtId="164" xfId="0" applyBorder="1" applyFont="1" applyNumberFormat="1"/>
    <xf borderId="36" fillId="0" fontId="11" numFmtId="164" xfId="0" applyAlignment="1" applyBorder="1" applyFont="1" applyNumberFormat="1">
      <alignment horizontal="center"/>
    </xf>
    <xf borderId="0" fillId="0" fontId="23" numFmtId="164" xfId="0" applyFont="1" applyNumberFormat="1"/>
    <xf borderId="33" fillId="14" fontId="11" numFmtId="164" xfId="0" applyAlignment="1" applyBorder="1" applyFont="1" applyNumberFormat="1">
      <alignment horizontal="center" readingOrder="0"/>
    </xf>
    <xf borderId="34" fillId="0" fontId="1" numFmtId="164" xfId="0" applyBorder="1" applyFont="1" applyNumberFormat="1"/>
    <xf borderId="24" fillId="9" fontId="2" numFmtId="0" xfId="0" applyAlignment="1" applyBorder="1" applyFont="1">
      <alignment horizontal="center" shrinkToFit="0" vertical="bottom" wrapText="0"/>
    </xf>
    <xf borderId="24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70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0</xdr:row>
      <xdr:rowOff>9525</xdr:rowOff>
    </xdr:from>
    <xdr:ext cx="1466850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2476500</xdr:colOff>
      <xdr:row>0</xdr:row>
      <xdr:rowOff>0</xdr:rowOff>
    </xdr:from>
    <xdr:ext cx="1952625" cy="1171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2476500</xdr:colOff>
      <xdr:row>0</xdr:row>
      <xdr:rowOff>0</xdr:rowOff>
    </xdr:from>
    <xdr:ext cx="1952625" cy="1171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h94PUecnpknYjVjuIuEUqqyHvBQEZHuU?usp=sharing" TargetMode="External"/><Relationship Id="rId20" Type="http://schemas.openxmlformats.org/officeDocument/2006/relationships/hyperlink" Target="https://drive.google.com/drive/folders/1jzQAblUsNhJ-8jHdpinv01Nyl2UcJ1g5?usp=sharing" TargetMode="External"/><Relationship Id="rId42" Type="http://schemas.openxmlformats.org/officeDocument/2006/relationships/hyperlink" Target="https://drive.google.com/drive/folders/1R2gzXnmAk4_yEwD6n1FPWW51pabT4kju?usp=sharing" TargetMode="External"/><Relationship Id="rId41" Type="http://schemas.openxmlformats.org/officeDocument/2006/relationships/hyperlink" Target="https://drive.google.com/drive/folders/1TipPSLGE6lousco3g1mCUeo0glfFhbbi?usp=sharing" TargetMode="External"/><Relationship Id="rId22" Type="http://schemas.openxmlformats.org/officeDocument/2006/relationships/hyperlink" Target="https://drive.google.com/drive/folders/1jzQAblUsNhJ-8jHdpinv01Nyl2UcJ1g5?usp=sharing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jzQAblUsNhJ-8jHdpinv01Nyl2UcJ1g5?usp=sharing" TargetMode="External"/><Relationship Id="rId43" Type="http://schemas.openxmlformats.org/officeDocument/2006/relationships/hyperlink" Target="https://drive.google.com/drive/folders/1CToH4ah4OS18jlv5bZ41ngEOwvpfQK4_?usp=sharing" TargetMode="External"/><Relationship Id="rId24" Type="http://schemas.openxmlformats.org/officeDocument/2006/relationships/hyperlink" Target="https://drive.google.com/drive/folders/1jzQAblUsNhJ-8jHdpinv01Nyl2UcJ1g5?usp=sharing" TargetMode="External"/><Relationship Id="rId23" Type="http://schemas.openxmlformats.org/officeDocument/2006/relationships/hyperlink" Target="https://drive.google.com/drive/folders/1jzQAblUsNhJ-8jHdpinv01Nyl2UcJ1g5?usp=sharing" TargetMode="External"/><Relationship Id="rId1" Type="http://schemas.openxmlformats.org/officeDocument/2006/relationships/hyperlink" Target="https://drive.google.com/drive/folders/1r4l3HZYWtQCfvvA0QdJlpmVo8vszUn-y?usp=sharing" TargetMode="External"/><Relationship Id="rId2" Type="http://schemas.openxmlformats.org/officeDocument/2006/relationships/hyperlink" Target="https://drive.google.com/drive/folders/1xfxrudDJiEduuZewGV_i3Z1hXQ2yKJ2w?usp=sharing" TargetMode="External"/><Relationship Id="rId3" Type="http://schemas.openxmlformats.org/officeDocument/2006/relationships/hyperlink" Target="https://drive.google.com/drive/folders/1noGmxTccYNyYAZcUqvUMlR37H8QrbRZb?usp=sharing" TargetMode="External"/><Relationship Id="rId4" Type="http://schemas.openxmlformats.org/officeDocument/2006/relationships/hyperlink" Target="https://drive.google.com/drive/folders/1noGmxTccYNyYAZcUqvUMlR37H8QrbRZb?usp=sharing" TargetMode="External"/><Relationship Id="rId9" Type="http://schemas.openxmlformats.org/officeDocument/2006/relationships/hyperlink" Target="https://drive.google.com/drive/folders/1VGPeJVDc-ZSCYToV8d-pYGqERk_QC0Cf?usp=sharing" TargetMode="External"/><Relationship Id="rId26" Type="http://schemas.openxmlformats.org/officeDocument/2006/relationships/hyperlink" Target="https://drive.google.com/drive/folders/1jzQAblUsNhJ-8jHdpinv01Nyl2UcJ1g5?usp=sharing" TargetMode="External"/><Relationship Id="rId25" Type="http://schemas.openxmlformats.org/officeDocument/2006/relationships/hyperlink" Target="https://drive.google.com/drive/folders/1jzQAblUsNhJ-8jHdpinv01Nyl2UcJ1g5?usp=sharing" TargetMode="External"/><Relationship Id="rId28" Type="http://schemas.openxmlformats.org/officeDocument/2006/relationships/hyperlink" Target="https://drive.google.com/drive/folders/13PVltoqHAF9DPPi-ry2z2ZBjiqt49kDL?usp=sharing" TargetMode="External"/><Relationship Id="rId27" Type="http://schemas.openxmlformats.org/officeDocument/2006/relationships/hyperlink" Target="https://drive.google.com/drive/folders/13PVltoqHAF9DPPi-ry2z2ZBjiqt49kDL?usp=sharing" TargetMode="External"/><Relationship Id="rId5" Type="http://schemas.openxmlformats.org/officeDocument/2006/relationships/hyperlink" Target="https://drive.google.com/drive/folders/1GaM_pqBCc8dBqvn1PT6M-hLuPSTsNiVU?usp=sharing" TargetMode="External"/><Relationship Id="rId6" Type="http://schemas.openxmlformats.org/officeDocument/2006/relationships/hyperlink" Target="https://drive.google.com/drive/folders/1zoCcFfqR3GWq41gxpHVwS1Bg_3_dWx8T?usp=sharing" TargetMode="External"/><Relationship Id="rId29" Type="http://schemas.openxmlformats.org/officeDocument/2006/relationships/hyperlink" Target="https://drive.google.com/drive/folders/13PVltoqHAF9DPPi-ry2z2ZBjiqt49kDL?usp=sharing" TargetMode="External"/><Relationship Id="rId7" Type="http://schemas.openxmlformats.org/officeDocument/2006/relationships/hyperlink" Target="https://drive.google.com/drive/folders/1M60_6vCiDTLNbiCmwvfVUORV10J7qKNJ?usp=sharing" TargetMode="External"/><Relationship Id="rId8" Type="http://schemas.openxmlformats.org/officeDocument/2006/relationships/hyperlink" Target="https://drive.google.com/drive/folders/1VGPeJVDc-ZSCYToV8d-pYGqERk_QC0Cf?usp=sharing" TargetMode="External"/><Relationship Id="rId31" Type="http://schemas.openxmlformats.org/officeDocument/2006/relationships/hyperlink" Target="https://drive.google.com/drive/folders/1NOqcQzKk8MYipbPFGY3gw50lwKS6vpZx?usp=sharing" TargetMode="External"/><Relationship Id="rId30" Type="http://schemas.openxmlformats.org/officeDocument/2006/relationships/hyperlink" Target="https://drive.google.com/drive/folders/1NOqcQzKk8MYipbPFGY3gw50lwKS6vpZx?usp=sharing" TargetMode="External"/><Relationship Id="rId11" Type="http://schemas.openxmlformats.org/officeDocument/2006/relationships/hyperlink" Target="https://drive.google.com/drive/folders/1pFvdyXUBvQIXCBiPQVdanXQvf-urlG5A?usp=sharing" TargetMode="External"/><Relationship Id="rId33" Type="http://schemas.openxmlformats.org/officeDocument/2006/relationships/hyperlink" Target="https://drive.google.com/drive/folders/1NOqcQzKk8MYipbPFGY3gw50lwKS6vpZx?usp=sharing" TargetMode="External"/><Relationship Id="rId10" Type="http://schemas.openxmlformats.org/officeDocument/2006/relationships/hyperlink" Target="https://drive.google.com/drive/folders/1pFvdyXUBvQIXCBiPQVdanXQvf-urlG5A?usp=sharing" TargetMode="External"/><Relationship Id="rId32" Type="http://schemas.openxmlformats.org/officeDocument/2006/relationships/hyperlink" Target="https://drive.google.com/drive/folders/1NOqcQzKk8MYipbPFGY3gw50lwKS6vpZx?usp=sharing" TargetMode="External"/><Relationship Id="rId13" Type="http://schemas.openxmlformats.org/officeDocument/2006/relationships/hyperlink" Target="https://drive.google.com/drive/folders/131yDF2ll7MsdbTyyTbn7EX7a9zxSsIDr?usp=sharing" TargetMode="External"/><Relationship Id="rId35" Type="http://schemas.openxmlformats.org/officeDocument/2006/relationships/hyperlink" Target="https://drive.google.com/drive/folders/1h6YLvM-ScxcbvnvIM51AXbOfGaepR69j?usp=sharing" TargetMode="External"/><Relationship Id="rId12" Type="http://schemas.openxmlformats.org/officeDocument/2006/relationships/hyperlink" Target="https://drive.google.com/drive/folders/1ClNSfk0uC1iD-QEUsAsI5iAi4INltudn?usp=sharing" TargetMode="External"/><Relationship Id="rId34" Type="http://schemas.openxmlformats.org/officeDocument/2006/relationships/hyperlink" Target="https://drive.google.com/drive/folders/1h6YLvM-ScxcbvnvIM51AXbOfGaepR69j?usp=sharing" TargetMode="External"/><Relationship Id="rId15" Type="http://schemas.openxmlformats.org/officeDocument/2006/relationships/hyperlink" Target="https://drive.google.com/drive/folders/1HL9MgJKjFWQC0FiCR2R3_QTEfrwigVGn?usp=sharing" TargetMode="External"/><Relationship Id="rId37" Type="http://schemas.openxmlformats.org/officeDocument/2006/relationships/hyperlink" Target="https://drive.google.com/drive/folders/1vWNDIV0Imt73wgThyzb1iruIZRnwhfzV?usp=sharing" TargetMode="External"/><Relationship Id="rId14" Type="http://schemas.openxmlformats.org/officeDocument/2006/relationships/hyperlink" Target="https://drive.google.com/drive/folders/1HL9MgJKjFWQC0FiCR2R3_QTEfrwigVGn?usp=sharing" TargetMode="External"/><Relationship Id="rId36" Type="http://schemas.openxmlformats.org/officeDocument/2006/relationships/hyperlink" Target="https://drive.google.com/drive/folders/1vWNDIV0Imt73wgThyzb1iruIZRnwhfzV?usp=sharing" TargetMode="External"/><Relationship Id="rId17" Type="http://schemas.openxmlformats.org/officeDocument/2006/relationships/hyperlink" Target="https://drive.google.com/drive/folders/1vGoDVxrA8MxtNzLnQSaMFzCR9FU8aI5c?usp=sharing" TargetMode="External"/><Relationship Id="rId39" Type="http://schemas.openxmlformats.org/officeDocument/2006/relationships/hyperlink" Target="https://drive.google.com/drive/folders/1h94PUecnpknYjVjuIuEUqqyHvBQEZHuU?usp=sharing" TargetMode="External"/><Relationship Id="rId16" Type="http://schemas.openxmlformats.org/officeDocument/2006/relationships/hyperlink" Target="https://drive.google.com/drive/folders/1648_vD-HKteUIHS_dJuQ0XbLO2o7m9yA?usp=sharing" TargetMode="External"/><Relationship Id="rId38" Type="http://schemas.openxmlformats.org/officeDocument/2006/relationships/hyperlink" Target="https://drive.google.com/drive/folders/1h94PUecnpknYjVjuIuEUqqyHvBQEZHuU?usp=sharing" TargetMode="External"/><Relationship Id="rId19" Type="http://schemas.openxmlformats.org/officeDocument/2006/relationships/hyperlink" Target="https://drive.google.com/drive/folders/1jzQAblUsNhJ-8jHdpinv01Nyl2UcJ1g5?usp=sharing" TargetMode="External"/><Relationship Id="rId18" Type="http://schemas.openxmlformats.org/officeDocument/2006/relationships/hyperlink" Target="https://drive.google.com/drive/folders/1vGoDVxrA8MxtNzLnQSaMFzCR9FU8aI5c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4" width="18.0"/>
    <col customWidth="1" min="5" max="5" width="14.71"/>
    <col customWidth="1" min="6" max="6" width="27.43"/>
    <col customWidth="1" min="7" max="8" width="15.0"/>
    <col customWidth="1" min="9" max="9" width="17.71"/>
    <col customWidth="1" min="10" max="10" width="34.0"/>
    <col customWidth="1" min="11" max="11" width="22.57"/>
    <col customWidth="1" min="12" max="12" width="22.71"/>
    <col customWidth="1" min="13" max="27" width="8.71"/>
  </cols>
  <sheetData>
    <row r="1" ht="14.25" customHeight="1">
      <c r="A1" s="2"/>
      <c r="B1" s="4"/>
      <c r="C1" s="6"/>
      <c r="D1" s="6"/>
      <c r="E1" s="6"/>
      <c r="F1" s="7"/>
      <c r="G1" s="9"/>
      <c r="H1" s="4"/>
      <c r="I1" s="12"/>
      <c r="J1" s="13" t="s">
        <v>5</v>
      </c>
    </row>
    <row r="2" ht="14.25" customHeight="1">
      <c r="A2" s="15"/>
      <c r="B2" s="17"/>
      <c r="C2" s="17"/>
      <c r="D2" s="17"/>
      <c r="E2" s="17"/>
      <c r="F2" s="19" t="s">
        <v>0</v>
      </c>
      <c r="H2" s="17"/>
      <c r="I2" s="22"/>
      <c r="J2" s="23" t="s">
        <v>13</v>
      </c>
    </row>
    <row r="3" ht="14.25" customHeight="1">
      <c r="A3" s="15"/>
      <c r="B3" s="17"/>
      <c r="C3" s="17"/>
      <c r="D3" s="26"/>
      <c r="E3" s="26"/>
      <c r="H3" s="17"/>
      <c r="I3" s="22"/>
      <c r="J3" s="29" t="s">
        <v>15</v>
      </c>
    </row>
    <row r="4" ht="14.25" customHeight="1">
      <c r="A4" s="15"/>
      <c r="B4" s="22"/>
      <c r="C4" s="17"/>
      <c r="D4" s="17"/>
      <c r="E4" s="17"/>
      <c r="F4" s="17"/>
      <c r="G4" s="17"/>
      <c r="H4" s="17"/>
      <c r="I4" s="22"/>
      <c r="J4" s="32" t="s">
        <v>20</v>
      </c>
    </row>
    <row r="5" ht="14.25" customHeight="1">
      <c r="A5" s="33"/>
      <c r="B5" s="35"/>
      <c r="C5" s="35"/>
      <c r="D5" s="35"/>
      <c r="E5" s="35"/>
      <c r="F5" s="35"/>
      <c r="G5" s="35"/>
      <c r="H5" s="35"/>
      <c r="I5" s="35"/>
      <c r="J5" s="38"/>
    </row>
    <row r="6" ht="14.25" customHeight="1">
      <c r="A6" s="40" t="s">
        <v>27</v>
      </c>
      <c r="B6" s="41" t="s">
        <v>32</v>
      </c>
      <c r="C6" s="41" t="s">
        <v>35</v>
      </c>
      <c r="D6" s="41" t="s">
        <v>36</v>
      </c>
      <c r="E6" s="41"/>
      <c r="F6" s="41" t="s">
        <v>38</v>
      </c>
      <c r="G6" s="41" t="s">
        <v>39</v>
      </c>
      <c r="H6" s="41" t="s">
        <v>40</v>
      </c>
      <c r="I6" s="41" t="s">
        <v>41</v>
      </c>
      <c r="J6" s="43" t="s">
        <v>43</v>
      </c>
      <c r="K6" s="45" t="s">
        <v>45</v>
      </c>
    </row>
    <row r="7" ht="14.25" customHeight="1">
      <c r="A7" s="47">
        <v>1.0</v>
      </c>
      <c r="B7" s="50">
        <v>46198.0</v>
      </c>
      <c r="C7" s="51"/>
      <c r="D7" s="51"/>
      <c r="E7" s="53" t="s">
        <v>48</v>
      </c>
      <c r="F7" s="53" t="s">
        <v>49</v>
      </c>
      <c r="G7" s="54">
        <v>30000.0</v>
      </c>
      <c r="H7" s="56"/>
      <c r="I7" s="61">
        <f>G7-H7</f>
        <v>30000</v>
      </c>
      <c r="J7" s="64" t="s">
        <v>59</v>
      </c>
      <c r="K7" s="31" t="s">
        <v>60</v>
      </c>
    </row>
    <row r="8" ht="14.25" customHeight="1">
      <c r="A8" s="65">
        <v>2.0</v>
      </c>
      <c r="B8" s="66">
        <v>46202.0</v>
      </c>
      <c r="C8" s="67" t="s">
        <v>12</v>
      </c>
      <c r="D8" s="67" t="s">
        <v>61</v>
      </c>
      <c r="E8" s="68" t="s">
        <v>62</v>
      </c>
      <c r="F8" s="68" t="s">
        <v>63</v>
      </c>
      <c r="G8" s="69"/>
      <c r="H8" s="70">
        <v>6500.0</v>
      </c>
      <c r="I8" s="71">
        <f t="shared" ref="I8:I208" si="1">I7+G8-H8</f>
        <v>23500</v>
      </c>
      <c r="J8" s="76" t="s">
        <v>59</v>
      </c>
      <c r="K8" s="77"/>
      <c r="M8" s="78"/>
      <c r="N8" s="78"/>
      <c r="O8" s="78"/>
      <c r="P8" s="78"/>
      <c r="Q8" s="78"/>
      <c r="R8" s="78"/>
      <c r="S8" s="78"/>
      <c r="T8" s="78"/>
    </row>
    <row r="9" ht="14.25" customHeight="1">
      <c r="A9" s="81">
        <v>3.0</v>
      </c>
      <c r="B9" s="82">
        <v>46203.0</v>
      </c>
      <c r="C9" s="67" t="s">
        <v>12</v>
      </c>
      <c r="D9" s="67" t="s">
        <v>61</v>
      </c>
      <c r="E9" s="68" t="s">
        <v>62</v>
      </c>
      <c r="F9" s="83" t="s">
        <v>66</v>
      </c>
      <c r="G9" s="84"/>
      <c r="H9" s="70">
        <v>90.47</v>
      </c>
      <c r="I9" s="85">
        <f t="shared" si="1"/>
        <v>23409.53</v>
      </c>
      <c r="J9" s="86" t="s">
        <v>59</v>
      </c>
      <c r="K9" s="77"/>
    </row>
    <row r="10" ht="14.25" customHeight="1">
      <c r="A10" s="65">
        <v>4.0</v>
      </c>
      <c r="B10" s="66">
        <v>46203.0</v>
      </c>
      <c r="C10" s="67" t="s">
        <v>12</v>
      </c>
      <c r="D10" s="67" t="s">
        <v>61</v>
      </c>
      <c r="E10" s="68" t="s">
        <v>62</v>
      </c>
      <c r="F10" s="67" t="s">
        <v>68</v>
      </c>
      <c r="G10" s="69"/>
      <c r="H10" s="71">
        <v>2931.0</v>
      </c>
      <c r="I10" s="85">
        <f t="shared" si="1"/>
        <v>20478.53</v>
      </c>
      <c r="J10" s="76" t="s">
        <v>59</v>
      </c>
      <c r="K10" s="77"/>
    </row>
    <row r="11" ht="14.25" customHeight="1">
      <c r="A11" s="81">
        <v>5.0</v>
      </c>
      <c r="B11" s="88">
        <v>46207.0</v>
      </c>
      <c r="C11" s="89" t="s">
        <v>12</v>
      </c>
      <c r="D11" s="67" t="s">
        <v>61</v>
      </c>
      <c r="E11" s="68" t="s">
        <v>62</v>
      </c>
      <c r="F11" s="89" t="s">
        <v>69</v>
      </c>
      <c r="G11" s="84"/>
      <c r="H11" s="92">
        <v>238.0</v>
      </c>
      <c r="I11" s="85">
        <f t="shared" si="1"/>
        <v>20240.53</v>
      </c>
      <c r="J11" s="86" t="s">
        <v>59</v>
      </c>
      <c r="K11" s="77"/>
    </row>
    <row r="12" ht="14.25" customHeight="1">
      <c r="A12" s="65">
        <v>6.0</v>
      </c>
      <c r="B12" s="96">
        <v>46206.0</v>
      </c>
      <c r="C12" s="89" t="s">
        <v>12</v>
      </c>
      <c r="D12" s="67" t="s">
        <v>61</v>
      </c>
      <c r="E12" s="89" t="s">
        <v>73</v>
      </c>
      <c r="F12" s="16" t="s">
        <v>44</v>
      </c>
      <c r="G12" s="92">
        <v>500.0</v>
      </c>
      <c r="H12" s="98"/>
      <c r="I12" s="85">
        <f t="shared" si="1"/>
        <v>20740.53</v>
      </c>
      <c r="J12" s="101" t="s">
        <v>59</v>
      </c>
      <c r="K12" s="31" t="s">
        <v>74</v>
      </c>
    </row>
    <row r="13" ht="14.25" customHeight="1">
      <c r="A13" s="81">
        <v>7.0</v>
      </c>
      <c r="B13" s="88">
        <v>46208.0</v>
      </c>
      <c r="C13" s="89" t="s">
        <v>12</v>
      </c>
      <c r="D13" s="67" t="s">
        <v>61</v>
      </c>
      <c r="E13" s="68" t="s">
        <v>62</v>
      </c>
      <c r="F13" s="68" t="s">
        <v>75</v>
      </c>
      <c r="G13" s="84"/>
      <c r="H13" s="105">
        <v>18.0</v>
      </c>
      <c r="I13" s="85">
        <f t="shared" si="1"/>
        <v>20722.53</v>
      </c>
      <c r="J13" s="101" t="s">
        <v>59</v>
      </c>
      <c r="K13" s="77"/>
      <c r="M13" s="108"/>
      <c r="N13" s="108"/>
      <c r="P13" s="108"/>
      <c r="Q13" s="108"/>
      <c r="S13" s="108"/>
      <c r="T13" s="108"/>
      <c r="V13" s="108"/>
    </row>
    <row r="14" ht="14.25" customHeight="1">
      <c r="A14" s="47">
        <v>8.0</v>
      </c>
      <c r="B14" s="88">
        <v>46208.0</v>
      </c>
      <c r="C14" s="89" t="s">
        <v>12</v>
      </c>
      <c r="D14" s="67" t="s">
        <v>61</v>
      </c>
      <c r="E14" s="68" t="s">
        <v>76</v>
      </c>
      <c r="F14" s="89" t="s">
        <v>76</v>
      </c>
      <c r="G14" s="110">
        <v>80.0</v>
      </c>
      <c r="H14" s="111"/>
      <c r="I14" s="85">
        <f t="shared" si="1"/>
        <v>20802.53</v>
      </c>
      <c r="J14" s="112" t="s">
        <v>77</v>
      </c>
      <c r="K14" s="77"/>
      <c r="M14" s="108"/>
      <c r="N14" s="108"/>
      <c r="P14" s="108"/>
      <c r="Q14" s="108"/>
      <c r="S14" s="108"/>
      <c r="T14" s="108"/>
      <c r="V14" s="108"/>
      <c r="W14" s="108"/>
    </row>
    <row r="15" ht="14.25" customHeight="1">
      <c r="A15" s="65">
        <v>9.0</v>
      </c>
      <c r="B15" s="96">
        <v>46212.0</v>
      </c>
      <c r="C15" s="89" t="s">
        <v>12</v>
      </c>
      <c r="D15" s="67" t="s">
        <v>61</v>
      </c>
      <c r="E15" s="68" t="s">
        <v>62</v>
      </c>
      <c r="F15" s="68" t="s">
        <v>78</v>
      </c>
      <c r="G15" s="69"/>
      <c r="H15" s="105">
        <v>17.9</v>
      </c>
      <c r="I15" s="85">
        <f t="shared" si="1"/>
        <v>20784.63</v>
      </c>
      <c r="J15" s="101" t="s">
        <v>59</v>
      </c>
      <c r="K15" s="77"/>
    </row>
    <row r="16" ht="14.25" customHeight="1">
      <c r="A16" s="81">
        <v>10.0</v>
      </c>
      <c r="B16" s="96">
        <v>46212.0</v>
      </c>
      <c r="C16" s="89" t="s">
        <v>12</v>
      </c>
      <c r="D16" s="67" t="s">
        <v>61</v>
      </c>
      <c r="E16" s="89" t="s">
        <v>76</v>
      </c>
      <c r="F16" s="89" t="s">
        <v>76</v>
      </c>
      <c r="G16" s="92">
        <v>1390.0</v>
      </c>
      <c r="H16" s="84"/>
      <c r="I16" s="85">
        <f t="shared" si="1"/>
        <v>22174.63</v>
      </c>
      <c r="J16" s="101" t="s">
        <v>59</v>
      </c>
      <c r="K16" s="31" t="s">
        <v>79</v>
      </c>
      <c r="L16" s="16" t="s">
        <v>80</v>
      </c>
    </row>
    <row r="17" ht="14.25" customHeight="1">
      <c r="A17" s="47">
        <v>11.0</v>
      </c>
      <c r="B17" s="96">
        <v>46213.0</v>
      </c>
      <c r="C17" s="68" t="s">
        <v>18</v>
      </c>
      <c r="D17" s="89" t="s">
        <v>19</v>
      </c>
      <c r="E17" s="68" t="s">
        <v>62</v>
      </c>
      <c r="F17" s="68" t="s">
        <v>81</v>
      </c>
      <c r="G17" s="69"/>
      <c r="H17" s="92">
        <v>7200.0</v>
      </c>
      <c r="I17" s="85">
        <f t="shared" si="1"/>
        <v>14974.63</v>
      </c>
      <c r="J17" s="76" t="s">
        <v>59</v>
      </c>
      <c r="K17" s="31" t="s">
        <v>82</v>
      </c>
    </row>
    <row r="18" ht="14.25" customHeight="1">
      <c r="A18" s="65">
        <v>12.0</v>
      </c>
      <c r="B18" s="96">
        <v>46213.0</v>
      </c>
      <c r="C18" s="89" t="s">
        <v>83</v>
      </c>
      <c r="D18" s="89" t="s">
        <v>19</v>
      </c>
      <c r="E18" s="68" t="s">
        <v>62</v>
      </c>
      <c r="F18" s="89" t="s">
        <v>68</v>
      </c>
      <c r="G18" s="84"/>
      <c r="H18" s="92">
        <v>2277.89</v>
      </c>
      <c r="I18" s="85">
        <f t="shared" si="1"/>
        <v>12696.74</v>
      </c>
      <c r="J18" s="86" t="s">
        <v>59</v>
      </c>
      <c r="K18" s="77"/>
      <c r="M18" s="108"/>
      <c r="N18" s="108"/>
      <c r="P18" s="108"/>
      <c r="Q18" s="108"/>
      <c r="S18" s="108"/>
      <c r="T18" s="108"/>
      <c r="V18" s="108"/>
    </row>
    <row r="19" ht="14.25" customHeight="1">
      <c r="A19" s="81">
        <v>13.0</v>
      </c>
      <c r="B19" s="96">
        <v>46214.0</v>
      </c>
      <c r="C19" s="67"/>
      <c r="D19" s="67"/>
      <c r="E19" s="68" t="s">
        <v>62</v>
      </c>
      <c r="F19" s="68" t="s">
        <v>85</v>
      </c>
      <c r="G19" s="69"/>
      <c r="H19" s="92">
        <v>300.0</v>
      </c>
      <c r="I19" s="85">
        <f t="shared" si="1"/>
        <v>12396.74</v>
      </c>
      <c r="J19" s="76" t="s">
        <v>59</v>
      </c>
      <c r="K19" s="31" t="s">
        <v>86</v>
      </c>
    </row>
    <row r="20" ht="14.25" customHeight="1">
      <c r="A20" s="65">
        <v>14.0</v>
      </c>
      <c r="B20" s="88">
        <v>46215.0</v>
      </c>
      <c r="C20" s="68" t="s">
        <v>18</v>
      </c>
      <c r="D20" s="89" t="s">
        <v>19</v>
      </c>
      <c r="E20" s="68" t="s">
        <v>62</v>
      </c>
      <c r="F20" s="89" t="s">
        <v>87</v>
      </c>
      <c r="G20" s="84"/>
      <c r="H20" s="92">
        <v>25.0</v>
      </c>
      <c r="I20" s="85">
        <f t="shared" si="1"/>
        <v>12371.74</v>
      </c>
      <c r="J20" s="86" t="s">
        <v>59</v>
      </c>
      <c r="K20" s="77"/>
      <c r="P20" s="16">
        <v>985.85</v>
      </c>
    </row>
    <row r="21" ht="14.25" customHeight="1">
      <c r="A21" s="81">
        <v>15.0</v>
      </c>
      <c r="B21" s="96">
        <v>46216.0</v>
      </c>
      <c r="C21" s="118" t="s">
        <v>23</v>
      </c>
      <c r="D21" s="89" t="s">
        <v>25</v>
      </c>
      <c r="E21" s="68" t="s">
        <v>62</v>
      </c>
      <c r="F21" s="68" t="s">
        <v>88</v>
      </c>
      <c r="G21" s="69"/>
      <c r="H21" s="92">
        <v>500.0</v>
      </c>
      <c r="I21" s="85">
        <f t="shared" si="1"/>
        <v>11871.74</v>
      </c>
      <c r="J21" s="76" t="s">
        <v>59</v>
      </c>
      <c r="K21" s="77"/>
      <c r="P21" s="16">
        <v>-905.0</v>
      </c>
    </row>
    <row r="22" ht="14.25" customHeight="1">
      <c r="A22" s="65">
        <v>16.0</v>
      </c>
      <c r="B22" s="96">
        <v>46216.0</v>
      </c>
      <c r="C22" s="118" t="s">
        <v>23</v>
      </c>
      <c r="D22" s="89" t="s">
        <v>25</v>
      </c>
      <c r="E22" s="68" t="s">
        <v>62</v>
      </c>
      <c r="F22" s="68" t="s">
        <v>89</v>
      </c>
      <c r="G22" s="69"/>
      <c r="H22" s="92">
        <v>6500.0</v>
      </c>
      <c r="I22" s="85">
        <f t="shared" si="1"/>
        <v>5371.74</v>
      </c>
      <c r="J22" s="76" t="s">
        <v>59</v>
      </c>
      <c r="K22" s="77"/>
    </row>
    <row r="23" ht="14.25" customHeight="1">
      <c r="A23" s="81">
        <v>17.0</v>
      </c>
      <c r="B23" s="88">
        <v>46217.0</v>
      </c>
      <c r="C23" s="89" t="s">
        <v>23</v>
      </c>
      <c r="D23" s="89" t="s">
        <v>25</v>
      </c>
      <c r="E23" s="68" t="s">
        <v>62</v>
      </c>
      <c r="F23" s="89" t="s">
        <v>68</v>
      </c>
      <c r="G23" s="84"/>
      <c r="H23" s="92">
        <v>2261.73</v>
      </c>
      <c r="I23" s="85">
        <f t="shared" si="1"/>
        <v>3110.01</v>
      </c>
      <c r="J23" s="86" t="s">
        <v>59</v>
      </c>
      <c r="K23" s="31" t="s">
        <v>90</v>
      </c>
    </row>
    <row r="24" ht="14.25" customHeight="1">
      <c r="A24" s="47">
        <v>18.0</v>
      </c>
      <c r="B24" s="96">
        <v>46219.0</v>
      </c>
      <c r="C24" s="68" t="s">
        <v>18</v>
      </c>
      <c r="D24" s="89" t="s">
        <v>19</v>
      </c>
      <c r="E24" s="89" t="s">
        <v>73</v>
      </c>
      <c r="F24" s="68" t="s">
        <v>91</v>
      </c>
      <c r="G24" s="92">
        <v>300.0</v>
      </c>
      <c r="H24" s="69"/>
      <c r="I24" s="85">
        <f t="shared" si="1"/>
        <v>3410.01</v>
      </c>
      <c r="J24" s="76" t="s">
        <v>59</v>
      </c>
      <c r="K24" s="31" t="s">
        <v>92</v>
      </c>
    </row>
    <row r="25" ht="14.25" customHeight="1">
      <c r="A25" s="65">
        <v>19.0</v>
      </c>
      <c r="B25" s="88">
        <v>46219.0</v>
      </c>
      <c r="C25" s="68" t="s">
        <v>18</v>
      </c>
      <c r="D25" s="89" t="s">
        <v>19</v>
      </c>
      <c r="E25" s="68" t="s">
        <v>76</v>
      </c>
      <c r="F25" s="68" t="s">
        <v>93</v>
      </c>
      <c r="G25" s="92">
        <v>200.0</v>
      </c>
      <c r="H25" s="84"/>
      <c r="I25" s="85">
        <f t="shared" si="1"/>
        <v>3610.01</v>
      </c>
      <c r="J25" s="86" t="s">
        <v>59</v>
      </c>
      <c r="K25" s="31" t="s">
        <v>92</v>
      </c>
      <c r="L25" s="16" t="s">
        <v>94</v>
      </c>
    </row>
    <row r="26" ht="14.25" customHeight="1">
      <c r="A26" s="81">
        <v>20.0</v>
      </c>
      <c r="B26" s="88">
        <v>46219.0</v>
      </c>
      <c r="C26" s="89" t="s">
        <v>33</v>
      </c>
      <c r="D26" s="89" t="s">
        <v>34</v>
      </c>
      <c r="E26" s="89" t="s">
        <v>73</v>
      </c>
      <c r="F26" s="89" t="s">
        <v>95</v>
      </c>
      <c r="G26" s="92">
        <v>500.0</v>
      </c>
      <c r="H26" s="84"/>
      <c r="I26" s="85">
        <f t="shared" si="1"/>
        <v>4110.01</v>
      </c>
      <c r="J26" s="76" t="s">
        <v>59</v>
      </c>
      <c r="K26" s="31" t="s">
        <v>96</v>
      </c>
    </row>
    <row r="27" ht="14.25" customHeight="1">
      <c r="A27" s="47">
        <v>21.0</v>
      </c>
      <c r="B27" s="96">
        <v>46221.0</v>
      </c>
      <c r="C27" s="67"/>
      <c r="D27" s="67"/>
      <c r="E27" s="53" t="s">
        <v>48</v>
      </c>
      <c r="F27" s="68" t="s">
        <v>97</v>
      </c>
      <c r="G27" s="92">
        <v>5000.0</v>
      </c>
      <c r="H27" s="69"/>
      <c r="I27" s="85">
        <f t="shared" si="1"/>
        <v>9110.01</v>
      </c>
      <c r="J27" s="86" t="s">
        <v>59</v>
      </c>
      <c r="K27" s="31" t="s">
        <v>98</v>
      </c>
    </row>
    <row r="28" ht="14.25" customHeight="1">
      <c r="A28" s="65">
        <v>22.0</v>
      </c>
      <c r="B28" s="96">
        <v>46221.0</v>
      </c>
      <c r="C28" s="89" t="s">
        <v>23</v>
      </c>
      <c r="D28" s="89" t="s">
        <v>25</v>
      </c>
      <c r="E28" s="68" t="s">
        <v>62</v>
      </c>
      <c r="F28" s="89" t="s">
        <v>99</v>
      </c>
      <c r="G28" s="84"/>
      <c r="H28" s="92">
        <v>25.0</v>
      </c>
      <c r="I28" s="85">
        <f t="shared" si="1"/>
        <v>9085.01</v>
      </c>
      <c r="J28" s="86" t="s">
        <v>59</v>
      </c>
      <c r="K28" s="77"/>
      <c r="V28" s="16" t="s">
        <v>59</v>
      </c>
    </row>
    <row r="29" ht="14.25" customHeight="1">
      <c r="A29" s="81">
        <v>23.0</v>
      </c>
      <c r="B29" s="96">
        <v>46221.0</v>
      </c>
      <c r="C29" s="89" t="s">
        <v>23</v>
      </c>
      <c r="D29" s="89" t="s">
        <v>25</v>
      </c>
      <c r="E29" s="68" t="s">
        <v>76</v>
      </c>
      <c r="F29" s="68" t="s">
        <v>100</v>
      </c>
      <c r="G29" s="92">
        <v>130.0</v>
      </c>
      <c r="H29" s="69"/>
      <c r="I29" s="85">
        <f t="shared" si="1"/>
        <v>9215.01</v>
      </c>
      <c r="J29" s="86" t="s">
        <v>59</v>
      </c>
      <c r="K29" s="31" t="s">
        <v>101</v>
      </c>
      <c r="L29" s="16" t="s">
        <v>102</v>
      </c>
    </row>
    <row r="30" ht="14.25" customHeight="1">
      <c r="A30" s="65">
        <v>24.0</v>
      </c>
      <c r="B30" s="96">
        <v>46221.0</v>
      </c>
      <c r="C30" s="89" t="s">
        <v>23</v>
      </c>
      <c r="D30" s="89" t="s">
        <v>25</v>
      </c>
      <c r="E30" s="89" t="s">
        <v>73</v>
      </c>
      <c r="F30" s="68" t="s">
        <v>103</v>
      </c>
      <c r="G30" s="92">
        <v>200.0</v>
      </c>
      <c r="H30" s="69"/>
      <c r="I30" s="85">
        <f t="shared" si="1"/>
        <v>9415.01</v>
      </c>
      <c r="J30" s="86" t="s">
        <v>59</v>
      </c>
      <c r="K30" s="31"/>
      <c r="L30" s="16"/>
    </row>
    <row r="31" ht="14.25" customHeight="1">
      <c r="A31" s="81">
        <v>25.0</v>
      </c>
      <c r="B31" s="96">
        <v>46221.0</v>
      </c>
      <c r="C31" s="68" t="s">
        <v>18</v>
      </c>
      <c r="D31" s="89" t="s">
        <v>19</v>
      </c>
      <c r="E31" s="68" t="s">
        <v>62</v>
      </c>
      <c r="F31" s="89" t="s">
        <v>104</v>
      </c>
      <c r="G31" s="111"/>
      <c r="H31" s="105">
        <v>9.84</v>
      </c>
      <c r="I31" s="85">
        <f t="shared" si="1"/>
        <v>9405.17</v>
      </c>
      <c r="J31" s="86" t="s">
        <v>59</v>
      </c>
      <c r="K31" s="77"/>
    </row>
    <row r="32" ht="14.25" customHeight="1">
      <c r="A32" s="65">
        <v>26.0</v>
      </c>
      <c r="B32" s="96">
        <v>46221.0</v>
      </c>
      <c r="C32" s="89" t="s">
        <v>33</v>
      </c>
      <c r="D32" s="89" t="s">
        <v>34</v>
      </c>
      <c r="E32" s="68" t="s">
        <v>62</v>
      </c>
      <c r="F32" s="89" t="s">
        <v>105</v>
      </c>
      <c r="G32" s="111"/>
      <c r="H32" s="92">
        <v>5500.0</v>
      </c>
      <c r="I32" s="85">
        <f t="shared" si="1"/>
        <v>3905.17</v>
      </c>
      <c r="J32" s="86" t="s">
        <v>59</v>
      </c>
      <c r="K32" s="77"/>
    </row>
    <row r="33" ht="14.25" customHeight="1">
      <c r="A33" s="81">
        <v>27.0</v>
      </c>
      <c r="B33" s="96">
        <v>46221.0</v>
      </c>
      <c r="C33" s="89" t="s">
        <v>33</v>
      </c>
      <c r="D33" s="89" t="s">
        <v>34</v>
      </c>
      <c r="E33" s="68" t="s">
        <v>62</v>
      </c>
      <c r="F33" s="89" t="s">
        <v>78</v>
      </c>
      <c r="G33" s="84"/>
      <c r="H33" s="111">
        <v>21.52</v>
      </c>
      <c r="I33" s="85">
        <f t="shared" si="1"/>
        <v>3883.65</v>
      </c>
      <c r="J33" s="86" t="s">
        <v>59</v>
      </c>
      <c r="K33" s="77"/>
    </row>
    <row r="34" ht="14.25" customHeight="1">
      <c r="A34" s="47">
        <v>28.0</v>
      </c>
      <c r="B34" s="96">
        <v>46222.0</v>
      </c>
      <c r="C34" s="67"/>
      <c r="D34" s="67"/>
      <c r="E34" s="53" t="s">
        <v>48</v>
      </c>
      <c r="F34" s="68" t="s">
        <v>106</v>
      </c>
      <c r="G34" s="92">
        <v>5000.0</v>
      </c>
      <c r="H34" s="69"/>
      <c r="I34" s="85">
        <f t="shared" si="1"/>
        <v>8883.65</v>
      </c>
      <c r="J34" s="86" t="s">
        <v>59</v>
      </c>
      <c r="K34" s="31" t="s">
        <v>107</v>
      </c>
    </row>
    <row r="35" ht="14.25" customHeight="1">
      <c r="A35" s="65">
        <v>29.0</v>
      </c>
      <c r="B35" s="96">
        <v>46222.0</v>
      </c>
      <c r="C35" s="89" t="s">
        <v>33</v>
      </c>
      <c r="D35" s="89" t="s">
        <v>34</v>
      </c>
      <c r="E35" s="68" t="s">
        <v>76</v>
      </c>
      <c r="F35" s="89" t="s">
        <v>108</v>
      </c>
      <c r="G35" s="92">
        <v>270.0</v>
      </c>
      <c r="H35" s="84"/>
      <c r="I35" s="85">
        <f t="shared" si="1"/>
        <v>9153.65</v>
      </c>
      <c r="J35" s="76" t="s">
        <v>59</v>
      </c>
      <c r="K35" s="77"/>
    </row>
    <row r="36" ht="14.25" customHeight="1">
      <c r="A36" s="81">
        <v>30.0</v>
      </c>
      <c r="B36" s="96">
        <v>46222.0</v>
      </c>
      <c r="C36" s="68" t="s">
        <v>18</v>
      </c>
      <c r="D36" s="89" t="s">
        <v>19</v>
      </c>
      <c r="E36" s="89" t="s">
        <v>109</v>
      </c>
      <c r="F36" s="89" t="s">
        <v>110</v>
      </c>
      <c r="G36" s="69"/>
      <c r="H36" s="119">
        <f>G24-H31</f>
        <v>290.16</v>
      </c>
      <c r="I36" s="85">
        <f t="shared" si="1"/>
        <v>8863.49</v>
      </c>
      <c r="J36" s="76" t="s">
        <v>59</v>
      </c>
      <c r="K36" s="77"/>
    </row>
    <row r="37" ht="14.25" customHeight="1">
      <c r="A37" s="47">
        <v>31.0</v>
      </c>
      <c r="B37" s="88">
        <v>46223.0</v>
      </c>
      <c r="C37" s="89" t="s">
        <v>33</v>
      </c>
      <c r="D37" s="89" t="s">
        <v>34</v>
      </c>
      <c r="E37" s="89" t="s">
        <v>73</v>
      </c>
      <c r="F37" s="89" t="s">
        <v>111</v>
      </c>
      <c r="G37" s="92">
        <v>500.0</v>
      </c>
      <c r="H37" s="84"/>
      <c r="I37" s="85">
        <f t="shared" si="1"/>
        <v>9363.49</v>
      </c>
      <c r="J37" s="76" t="s">
        <v>59</v>
      </c>
      <c r="K37" s="31" t="s">
        <v>112</v>
      </c>
    </row>
    <row r="38" ht="14.25" customHeight="1">
      <c r="A38" s="65">
        <v>32.0</v>
      </c>
      <c r="B38" s="88">
        <v>46223.0</v>
      </c>
      <c r="C38" s="89" t="s">
        <v>33</v>
      </c>
      <c r="D38" s="89" t="s">
        <v>34</v>
      </c>
      <c r="E38" s="68" t="s">
        <v>62</v>
      </c>
      <c r="F38" s="89" t="s">
        <v>99</v>
      </c>
      <c r="G38" s="111"/>
      <c r="H38" s="92">
        <v>25.0</v>
      </c>
      <c r="I38" s="85">
        <f t="shared" si="1"/>
        <v>9338.49</v>
      </c>
      <c r="J38" s="76" t="s">
        <v>59</v>
      </c>
      <c r="K38" s="77"/>
    </row>
    <row r="39" ht="14.25" customHeight="1">
      <c r="A39" s="81">
        <v>33.0</v>
      </c>
      <c r="B39" s="96">
        <v>46223.0</v>
      </c>
      <c r="C39" s="89" t="s">
        <v>23</v>
      </c>
      <c r="D39" s="89" t="s">
        <v>25</v>
      </c>
      <c r="E39" s="89" t="s">
        <v>109</v>
      </c>
      <c r="F39" s="68" t="s">
        <v>110</v>
      </c>
      <c r="G39" s="69"/>
      <c r="H39" s="92">
        <v>200.0</v>
      </c>
      <c r="I39" s="85">
        <f t="shared" si="1"/>
        <v>9138.49</v>
      </c>
      <c r="J39" s="76" t="s">
        <v>59</v>
      </c>
      <c r="K39" s="77"/>
    </row>
    <row r="40" ht="14.25" customHeight="1">
      <c r="A40" s="65">
        <v>34.0</v>
      </c>
      <c r="B40" s="88">
        <v>46223.0</v>
      </c>
      <c r="C40" s="89" t="s">
        <v>33</v>
      </c>
      <c r="D40" s="89" t="s">
        <v>34</v>
      </c>
      <c r="E40" s="68" t="s">
        <v>62</v>
      </c>
      <c r="F40" s="89" t="s">
        <v>68</v>
      </c>
      <c r="G40" s="84"/>
      <c r="H40" s="111">
        <v>1799.98</v>
      </c>
      <c r="I40" s="85">
        <f t="shared" si="1"/>
        <v>7338.51</v>
      </c>
      <c r="J40" s="86" t="s">
        <v>59</v>
      </c>
      <c r="K40" s="77"/>
    </row>
    <row r="41" ht="14.25" customHeight="1">
      <c r="A41" s="81">
        <v>35.0</v>
      </c>
      <c r="B41" s="96">
        <v>46224.0</v>
      </c>
      <c r="C41" s="89" t="s">
        <v>23</v>
      </c>
      <c r="D41" s="89" t="s">
        <v>25</v>
      </c>
      <c r="E41" s="89" t="s">
        <v>73</v>
      </c>
      <c r="F41" s="68" t="s">
        <v>44</v>
      </c>
      <c r="G41" s="92">
        <v>200.0</v>
      </c>
      <c r="H41" s="69"/>
      <c r="I41" s="85">
        <f t="shared" si="1"/>
        <v>7538.51</v>
      </c>
      <c r="J41" s="86" t="s">
        <v>59</v>
      </c>
      <c r="K41" s="31" t="s">
        <v>113</v>
      </c>
    </row>
    <row r="42" ht="14.25" customHeight="1">
      <c r="A42" s="65">
        <v>36.0</v>
      </c>
      <c r="B42" s="96">
        <v>46224.0</v>
      </c>
      <c r="C42" s="89" t="s">
        <v>23</v>
      </c>
      <c r="D42" s="89" t="s">
        <v>25</v>
      </c>
      <c r="E42" s="68" t="s">
        <v>76</v>
      </c>
      <c r="F42" s="68" t="s">
        <v>114</v>
      </c>
      <c r="G42" s="92">
        <v>395.0</v>
      </c>
      <c r="H42" s="69"/>
      <c r="I42" s="85">
        <f t="shared" si="1"/>
        <v>7933.51</v>
      </c>
      <c r="J42" s="76" t="s">
        <v>59</v>
      </c>
      <c r="K42" s="31" t="s">
        <v>115</v>
      </c>
      <c r="N42" s="16">
        <v>9673.0</v>
      </c>
    </row>
    <row r="43" ht="14.25" customHeight="1">
      <c r="A43" s="81">
        <v>37.0</v>
      </c>
      <c r="B43" s="96">
        <v>46226.0</v>
      </c>
      <c r="C43" s="83"/>
      <c r="D43" s="83"/>
      <c r="E43" s="68" t="s">
        <v>62</v>
      </c>
      <c r="F43" s="89" t="s">
        <v>116</v>
      </c>
      <c r="G43" s="84"/>
      <c r="H43" s="98">
        <v>114.17</v>
      </c>
      <c r="I43" s="85">
        <f t="shared" si="1"/>
        <v>7819.34</v>
      </c>
      <c r="J43" s="76" t="s">
        <v>59</v>
      </c>
      <c r="K43" s="89"/>
      <c r="N43" s="16">
        <v>1800.0</v>
      </c>
    </row>
    <row r="44" ht="14.25" customHeight="1">
      <c r="A44" s="65">
        <v>42.0</v>
      </c>
      <c r="B44" s="96">
        <v>46226.0</v>
      </c>
      <c r="C44" s="89" t="s">
        <v>33</v>
      </c>
      <c r="D44" s="89" t="s">
        <v>34</v>
      </c>
      <c r="E44" s="67"/>
      <c r="F44" s="68" t="s">
        <v>117</v>
      </c>
      <c r="G44" s="98">
        <v>30.0</v>
      </c>
      <c r="H44" s="69"/>
      <c r="I44" s="85">
        <f t="shared" si="1"/>
        <v>7849.34</v>
      </c>
      <c r="J44" s="121"/>
      <c r="K44" s="31" t="s">
        <v>118</v>
      </c>
    </row>
    <row r="45" ht="14.25" customHeight="1">
      <c r="A45" s="47">
        <v>38.0</v>
      </c>
      <c r="B45" s="96">
        <v>46226.0</v>
      </c>
      <c r="C45" s="89" t="s">
        <v>33</v>
      </c>
      <c r="D45" s="89" t="s">
        <v>34</v>
      </c>
      <c r="E45" s="89" t="s">
        <v>109</v>
      </c>
      <c r="F45" s="68" t="s">
        <v>110</v>
      </c>
      <c r="G45" s="69"/>
      <c r="H45" s="98">
        <v>500.0</v>
      </c>
      <c r="I45" s="85">
        <f t="shared" si="1"/>
        <v>7349.34</v>
      </c>
      <c r="J45" s="76" t="s">
        <v>59</v>
      </c>
      <c r="K45" s="31" t="s">
        <v>119</v>
      </c>
    </row>
    <row r="46" ht="14.25" customHeight="1">
      <c r="A46" s="65">
        <v>39.0</v>
      </c>
      <c r="B46" s="96">
        <v>46226.0</v>
      </c>
      <c r="C46" s="89" t="s">
        <v>33</v>
      </c>
      <c r="D46" s="89" t="s">
        <v>34</v>
      </c>
      <c r="E46" s="89" t="s">
        <v>76</v>
      </c>
      <c r="F46" s="89" t="s">
        <v>120</v>
      </c>
      <c r="G46" s="111">
        <v>1450.0</v>
      </c>
      <c r="H46" s="84"/>
      <c r="I46" s="85">
        <f t="shared" si="1"/>
        <v>8799.34</v>
      </c>
      <c r="J46" s="122" t="s">
        <v>77</v>
      </c>
      <c r="K46" s="31" t="s">
        <v>60</v>
      </c>
      <c r="L46" s="16" t="s">
        <v>121</v>
      </c>
      <c r="N46" s="123">
        <f>N42-N43</f>
        <v>7873</v>
      </c>
      <c r="O46" s="124">
        <f>N46-I45</f>
        <v>523.66</v>
      </c>
    </row>
    <row r="47" ht="14.25" customHeight="1">
      <c r="A47" s="81">
        <v>40.0</v>
      </c>
      <c r="B47" s="96">
        <v>46227.0</v>
      </c>
      <c r="C47" s="67"/>
      <c r="D47" s="67"/>
      <c r="E47" s="68" t="s">
        <v>62</v>
      </c>
      <c r="F47" s="68" t="s">
        <v>122</v>
      </c>
      <c r="G47" s="69"/>
      <c r="H47" s="98">
        <v>1305.5</v>
      </c>
      <c r="I47" s="85">
        <f t="shared" si="1"/>
        <v>7493.84</v>
      </c>
      <c r="J47" s="76" t="s">
        <v>59</v>
      </c>
      <c r="K47" s="77"/>
    </row>
    <row r="48" ht="14.25" customHeight="1">
      <c r="A48" s="47">
        <v>41.0</v>
      </c>
      <c r="B48" s="96">
        <v>46227.0</v>
      </c>
      <c r="C48" s="68" t="s">
        <v>18</v>
      </c>
      <c r="D48" s="89" t="s">
        <v>19</v>
      </c>
      <c r="E48" s="89" t="s">
        <v>73</v>
      </c>
      <c r="F48" s="89" t="s">
        <v>44</v>
      </c>
      <c r="G48" s="111">
        <v>200.0</v>
      </c>
      <c r="H48" s="84"/>
      <c r="I48" s="85">
        <f t="shared" si="1"/>
        <v>7693.84</v>
      </c>
      <c r="J48" s="86" t="s">
        <v>59</v>
      </c>
      <c r="K48" s="31" t="s">
        <v>123</v>
      </c>
    </row>
    <row r="49" ht="14.25" customHeight="1">
      <c r="A49" s="81">
        <v>43.0</v>
      </c>
      <c r="B49" s="96">
        <v>46227.0</v>
      </c>
      <c r="C49" s="83"/>
      <c r="D49" s="83"/>
      <c r="E49" s="89" t="s">
        <v>48</v>
      </c>
      <c r="F49" s="89" t="s">
        <v>124</v>
      </c>
      <c r="G49" s="111">
        <v>9000.0</v>
      </c>
      <c r="H49" s="84"/>
      <c r="I49" s="85">
        <f t="shared" si="1"/>
        <v>16693.84</v>
      </c>
      <c r="J49" s="86" t="s">
        <v>59</v>
      </c>
      <c r="K49" s="31" t="s">
        <v>125</v>
      </c>
    </row>
    <row r="50" ht="14.25" customHeight="1">
      <c r="A50" s="65">
        <v>44.0</v>
      </c>
      <c r="B50" s="96">
        <v>46230.0</v>
      </c>
      <c r="C50" s="67"/>
      <c r="D50" s="67"/>
      <c r="E50" s="67"/>
      <c r="F50" s="68" t="s">
        <v>126</v>
      </c>
      <c r="G50" s="98">
        <v>2200.0</v>
      </c>
      <c r="H50" s="69"/>
      <c r="I50" s="85">
        <f t="shared" si="1"/>
        <v>18893.84</v>
      </c>
      <c r="J50" s="76" t="s">
        <v>59</v>
      </c>
      <c r="K50" s="31" t="s">
        <v>127</v>
      </c>
    </row>
    <row r="51" ht="14.25" customHeight="1">
      <c r="A51" s="81">
        <v>45.0</v>
      </c>
      <c r="B51" s="88">
        <v>46231.0</v>
      </c>
      <c r="C51" s="89" t="s">
        <v>23</v>
      </c>
      <c r="D51" s="89" t="s">
        <v>25</v>
      </c>
      <c r="E51" s="68" t="s">
        <v>76</v>
      </c>
      <c r="F51" s="89" t="s">
        <v>128</v>
      </c>
      <c r="G51" s="111">
        <v>395.0</v>
      </c>
      <c r="H51" s="84"/>
      <c r="I51" s="85">
        <f t="shared" si="1"/>
        <v>19288.84</v>
      </c>
      <c r="J51" s="86" t="s">
        <v>59</v>
      </c>
      <c r="K51" s="31" t="s">
        <v>129</v>
      </c>
    </row>
    <row r="52" ht="14.25" customHeight="1">
      <c r="A52" s="65">
        <v>46.0</v>
      </c>
      <c r="B52" s="96">
        <v>46232.0</v>
      </c>
      <c r="C52" s="68" t="s">
        <v>130</v>
      </c>
      <c r="D52" s="68" t="s">
        <v>130</v>
      </c>
      <c r="E52" s="68" t="s">
        <v>73</v>
      </c>
      <c r="F52" s="68" t="s">
        <v>44</v>
      </c>
      <c r="G52" s="98">
        <v>200.0</v>
      </c>
      <c r="H52" s="69"/>
      <c r="I52" s="85">
        <f t="shared" si="1"/>
        <v>19488.84</v>
      </c>
      <c r="J52" s="76" t="s">
        <v>59</v>
      </c>
      <c r="K52" s="31" t="s">
        <v>131</v>
      </c>
    </row>
    <row r="53" ht="14.25" customHeight="1">
      <c r="A53" s="81">
        <v>47.0</v>
      </c>
      <c r="B53" s="125"/>
      <c r="C53" s="83"/>
      <c r="D53" s="83"/>
      <c r="E53" s="83"/>
      <c r="F53" s="83"/>
      <c r="G53" s="84"/>
      <c r="H53" s="84"/>
      <c r="I53" s="85">
        <f t="shared" si="1"/>
        <v>19488.84</v>
      </c>
      <c r="J53" s="126"/>
      <c r="K53" s="77"/>
    </row>
    <row r="54" ht="14.25" customHeight="1">
      <c r="A54" s="47">
        <v>48.0</v>
      </c>
      <c r="B54" s="127"/>
      <c r="C54" s="67"/>
      <c r="D54" s="67"/>
      <c r="E54" s="67"/>
      <c r="F54" s="67"/>
      <c r="G54" s="69"/>
      <c r="H54" s="69"/>
      <c r="I54" s="85">
        <f t="shared" si="1"/>
        <v>19488.84</v>
      </c>
      <c r="J54" s="121"/>
      <c r="K54" s="77"/>
    </row>
    <row r="55" ht="14.25" customHeight="1">
      <c r="A55" s="65">
        <v>49.0</v>
      </c>
      <c r="B55" s="125"/>
      <c r="C55" s="83"/>
      <c r="D55" s="83"/>
      <c r="E55" s="83"/>
      <c r="F55" s="83"/>
      <c r="G55" s="84"/>
      <c r="H55" s="84"/>
      <c r="I55" s="85">
        <f t="shared" si="1"/>
        <v>19488.84</v>
      </c>
      <c r="J55" s="126"/>
      <c r="K55" s="77"/>
    </row>
    <row r="56" ht="14.25" customHeight="1">
      <c r="A56" s="81">
        <v>50.0</v>
      </c>
      <c r="B56" s="127"/>
      <c r="C56" s="67"/>
      <c r="D56" s="67"/>
      <c r="E56" s="67"/>
      <c r="F56" s="67"/>
      <c r="G56" s="69"/>
      <c r="H56" s="69"/>
      <c r="I56" s="85">
        <f t="shared" si="1"/>
        <v>19488.84</v>
      </c>
      <c r="J56" s="121"/>
      <c r="K56" s="77"/>
    </row>
    <row r="57" ht="14.25" customHeight="1">
      <c r="A57" s="47">
        <v>51.0</v>
      </c>
      <c r="B57" s="125"/>
      <c r="C57" s="83"/>
      <c r="D57" s="83"/>
      <c r="E57" s="83"/>
      <c r="F57" s="83"/>
      <c r="G57" s="84"/>
      <c r="H57" s="84"/>
      <c r="I57" s="85">
        <f t="shared" si="1"/>
        <v>19488.84</v>
      </c>
      <c r="J57" s="126"/>
      <c r="K57" s="77"/>
    </row>
    <row r="58" ht="14.25" customHeight="1">
      <c r="A58" s="65">
        <v>52.0</v>
      </c>
      <c r="B58" s="127"/>
      <c r="C58" s="67"/>
      <c r="D58" s="67"/>
      <c r="E58" s="67"/>
      <c r="F58" s="67"/>
      <c r="G58" s="69"/>
      <c r="H58" s="69"/>
      <c r="I58" s="85">
        <f t="shared" si="1"/>
        <v>19488.84</v>
      </c>
      <c r="J58" s="121"/>
      <c r="K58" s="77"/>
    </row>
    <row r="59" ht="14.25" customHeight="1">
      <c r="A59" s="81">
        <v>53.0</v>
      </c>
      <c r="B59" s="127"/>
      <c r="C59" s="83"/>
      <c r="D59" s="83"/>
      <c r="E59" s="83"/>
      <c r="F59" s="83"/>
      <c r="G59" s="84"/>
      <c r="H59" s="84"/>
      <c r="I59" s="85">
        <f t="shared" si="1"/>
        <v>19488.84</v>
      </c>
      <c r="J59" s="126"/>
      <c r="K59" s="77"/>
    </row>
    <row r="60" ht="14.25" customHeight="1">
      <c r="A60" s="65">
        <v>54.0</v>
      </c>
      <c r="B60" s="127"/>
      <c r="C60" s="67"/>
      <c r="D60" s="67"/>
      <c r="E60" s="67"/>
      <c r="F60" s="67"/>
      <c r="G60" s="69"/>
      <c r="H60" s="69"/>
      <c r="I60" s="85">
        <f t="shared" si="1"/>
        <v>19488.84</v>
      </c>
      <c r="J60" s="121"/>
      <c r="K60" s="77"/>
    </row>
    <row r="61" ht="14.25" customHeight="1">
      <c r="A61" s="81">
        <v>55.0</v>
      </c>
      <c r="B61" s="125"/>
      <c r="C61" s="83"/>
      <c r="D61" s="83"/>
      <c r="E61" s="83"/>
      <c r="F61" s="83"/>
      <c r="G61" s="84"/>
      <c r="H61" s="84"/>
      <c r="I61" s="85">
        <f t="shared" si="1"/>
        <v>19488.84</v>
      </c>
      <c r="J61" s="126"/>
      <c r="K61" s="77"/>
    </row>
    <row r="62" ht="14.25" customHeight="1">
      <c r="A62" s="65">
        <v>56.0</v>
      </c>
      <c r="B62" s="127"/>
      <c r="C62" s="67"/>
      <c r="D62" s="67"/>
      <c r="E62" s="67"/>
      <c r="F62" s="67"/>
      <c r="G62" s="69"/>
      <c r="H62" s="69"/>
      <c r="I62" s="85">
        <f t="shared" si="1"/>
        <v>19488.84</v>
      </c>
      <c r="J62" s="121"/>
      <c r="K62" s="77"/>
    </row>
    <row r="63" ht="14.25" customHeight="1">
      <c r="A63" s="81">
        <v>57.0</v>
      </c>
      <c r="B63" s="125"/>
      <c r="C63" s="83"/>
      <c r="D63" s="83"/>
      <c r="E63" s="83"/>
      <c r="F63" s="83"/>
      <c r="G63" s="84"/>
      <c r="H63" s="84"/>
      <c r="I63" s="85">
        <f t="shared" si="1"/>
        <v>19488.84</v>
      </c>
      <c r="J63" s="126"/>
      <c r="K63" s="77"/>
    </row>
    <row r="64" ht="14.25" customHeight="1">
      <c r="A64" s="47">
        <v>58.0</v>
      </c>
      <c r="B64" s="127"/>
      <c r="C64" s="67"/>
      <c r="D64" s="67"/>
      <c r="E64" s="67"/>
      <c r="F64" s="67"/>
      <c r="G64" s="69"/>
      <c r="H64" s="69"/>
      <c r="I64" s="85">
        <f t="shared" si="1"/>
        <v>19488.84</v>
      </c>
      <c r="J64" s="121"/>
      <c r="K64" s="77"/>
    </row>
    <row r="65" ht="14.25" customHeight="1">
      <c r="A65" s="65">
        <v>59.0</v>
      </c>
      <c r="B65" s="125"/>
      <c r="C65" s="83"/>
      <c r="D65" s="83"/>
      <c r="E65" s="83"/>
      <c r="F65" s="83"/>
      <c r="G65" s="84"/>
      <c r="H65" s="84"/>
      <c r="I65" s="85">
        <f t="shared" si="1"/>
        <v>19488.84</v>
      </c>
      <c r="J65" s="126"/>
      <c r="K65" s="77"/>
    </row>
    <row r="66" ht="14.25" customHeight="1">
      <c r="A66" s="81">
        <v>60.0</v>
      </c>
      <c r="B66" s="127"/>
      <c r="C66" s="67"/>
      <c r="D66" s="67"/>
      <c r="E66" s="67"/>
      <c r="F66" s="67"/>
      <c r="G66" s="69"/>
      <c r="H66" s="69"/>
      <c r="I66" s="85">
        <f t="shared" si="1"/>
        <v>19488.84</v>
      </c>
      <c r="J66" s="121"/>
      <c r="K66" s="77"/>
    </row>
    <row r="67" ht="14.25" customHeight="1">
      <c r="A67" s="47">
        <v>61.0</v>
      </c>
      <c r="B67" s="125"/>
      <c r="C67" s="83"/>
      <c r="D67" s="83"/>
      <c r="E67" s="83"/>
      <c r="F67" s="83"/>
      <c r="G67" s="84"/>
      <c r="H67" s="84"/>
      <c r="I67" s="85">
        <f t="shared" si="1"/>
        <v>19488.84</v>
      </c>
      <c r="J67" s="126"/>
      <c r="K67" s="77"/>
    </row>
    <row r="68" ht="14.25" customHeight="1">
      <c r="A68" s="65">
        <v>62.0</v>
      </c>
      <c r="B68" s="127"/>
      <c r="C68" s="67"/>
      <c r="D68" s="67"/>
      <c r="E68" s="67"/>
      <c r="F68" s="67"/>
      <c r="G68" s="69"/>
      <c r="H68" s="69"/>
      <c r="I68" s="85">
        <f t="shared" si="1"/>
        <v>19488.84</v>
      </c>
      <c r="J68" s="121"/>
      <c r="K68" s="77"/>
    </row>
    <row r="69" ht="14.25" customHeight="1">
      <c r="A69" s="81">
        <v>63.0</v>
      </c>
      <c r="B69" s="125"/>
      <c r="C69" s="83"/>
      <c r="D69" s="83"/>
      <c r="E69" s="83"/>
      <c r="F69" s="83"/>
      <c r="G69" s="84"/>
      <c r="H69" s="84"/>
      <c r="I69" s="85">
        <f t="shared" si="1"/>
        <v>19488.84</v>
      </c>
      <c r="J69" s="126"/>
      <c r="K69" s="77"/>
    </row>
    <row r="70" ht="14.25" customHeight="1">
      <c r="A70" s="65">
        <v>64.0</v>
      </c>
      <c r="B70" s="127"/>
      <c r="C70" s="67"/>
      <c r="D70" s="67"/>
      <c r="E70" s="67"/>
      <c r="F70" s="67"/>
      <c r="G70" s="69"/>
      <c r="H70" s="69"/>
      <c r="I70" s="85">
        <f t="shared" si="1"/>
        <v>19488.84</v>
      </c>
      <c r="J70" s="121"/>
      <c r="K70" s="77"/>
    </row>
    <row r="71" ht="14.25" customHeight="1">
      <c r="A71" s="81">
        <v>65.0</v>
      </c>
      <c r="B71" s="125"/>
      <c r="C71" s="83"/>
      <c r="D71" s="83"/>
      <c r="E71" s="83"/>
      <c r="F71" s="83"/>
      <c r="G71" s="84"/>
      <c r="H71" s="84"/>
      <c r="I71" s="85">
        <f t="shared" si="1"/>
        <v>19488.84</v>
      </c>
      <c r="J71" s="126"/>
      <c r="K71" s="77"/>
    </row>
    <row r="72" ht="14.25" customHeight="1">
      <c r="A72" s="65">
        <v>66.0</v>
      </c>
      <c r="B72" s="127"/>
      <c r="C72" s="67"/>
      <c r="D72" s="67"/>
      <c r="E72" s="67"/>
      <c r="F72" s="67"/>
      <c r="G72" s="69"/>
      <c r="H72" s="69"/>
      <c r="I72" s="85">
        <f t="shared" si="1"/>
        <v>19488.84</v>
      </c>
      <c r="J72" s="121"/>
      <c r="K72" s="77"/>
    </row>
    <row r="73" ht="14.25" customHeight="1">
      <c r="A73" s="81">
        <v>67.0</v>
      </c>
      <c r="B73" s="125"/>
      <c r="C73" s="83"/>
      <c r="D73" s="83"/>
      <c r="E73" s="83"/>
      <c r="F73" s="83"/>
      <c r="G73" s="84"/>
      <c r="H73" s="84"/>
      <c r="I73" s="85">
        <f t="shared" si="1"/>
        <v>19488.84</v>
      </c>
      <c r="J73" s="126"/>
      <c r="K73" s="77"/>
    </row>
    <row r="74" ht="14.25" customHeight="1">
      <c r="A74" s="47">
        <v>68.0</v>
      </c>
      <c r="B74" s="127"/>
      <c r="C74" s="67"/>
      <c r="D74" s="67"/>
      <c r="E74" s="67"/>
      <c r="F74" s="67"/>
      <c r="G74" s="69"/>
      <c r="H74" s="69"/>
      <c r="I74" s="85">
        <f t="shared" si="1"/>
        <v>19488.84</v>
      </c>
      <c r="J74" s="121"/>
      <c r="K74" s="77"/>
    </row>
    <row r="75" ht="14.25" customHeight="1">
      <c r="A75" s="65">
        <v>69.0</v>
      </c>
      <c r="B75" s="125"/>
      <c r="C75" s="83"/>
      <c r="D75" s="83"/>
      <c r="E75" s="83"/>
      <c r="F75" s="83"/>
      <c r="G75" s="84"/>
      <c r="H75" s="84"/>
      <c r="I75" s="85">
        <f t="shared" si="1"/>
        <v>19488.84</v>
      </c>
      <c r="J75" s="126"/>
      <c r="K75" s="77"/>
    </row>
    <row r="76" ht="14.25" customHeight="1">
      <c r="A76" s="81">
        <v>70.0</v>
      </c>
      <c r="B76" s="127"/>
      <c r="C76" s="67"/>
      <c r="D76" s="67"/>
      <c r="E76" s="67"/>
      <c r="F76" s="67"/>
      <c r="G76" s="69"/>
      <c r="H76" s="69"/>
      <c r="I76" s="85">
        <f t="shared" si="1"/>
        <v>19488.84</v>
      </c>
      <c r="J76" s="121"/>
      <c r="K76" s="77"/>
    </row>
    <row r="77" ht="14.25" customHeight="1">
      <c r="A77" s="47">
        <v>71.0</v>
      </c>
      <c r="B77" s="125"/>
      <c r="C77" s="83"/>
      <c r="D77" s="83"/>
      <c r="E77" s="83"/>
      <c r="F77" s="83"/>
      <c r="G77" s="84"/>
      <c r="H77" s="84"/>
      <c r="I77" s="85">
        <f t="shared" si="1"/>
        <v>19488.84</v>
      </c>
      <c r="J77" s="126"/>
      <c r="K77" s="77"/>
    </row>
    <row r="78" ht="14.25" customHeight="1">
      <c r="A78" s="65">
        <v>72.0</v>
      </c>
      <c r="B78" s="127"/>
      <c r="C78" s="67"/>
      <c r="D78" s="67"/>
      <c r="E78" s="67"/>
      <c r="F78" s="67"/>
      <c r="G78" s="69"/>
      <c r="H78" s="69"/>
      <c r="I78" s="85">
        <f t="shared" si="1"/>
        <v>19488.84</v>
      </c>
      <c r="J78" s="121"/>
      <c r="K78" s="77"/>
    </row>
    <row r="79" ht="14.25" customHeight="1">
      <c r="A79" s="81">
        <v>73.0</v>
      </c>
      <c r="B79" s="125"/>
      <c r="C79" s="83"/>
      <c r="D79" s="83"/>
      <c r="E79" s="83"/>
      <c r="F79" s="83"/>
      <c r="G79" s="84"/>
      <c r="H79" s="84"/>
      <c r="I79" s="85">
        <f t="shared" si="1"/>
        <v>19488.84</v>
      </c>
      <c r="J79" s="126"/>
      <c r="K79" s="77"/>
    </row>
    <row r="80" ht="14.25" customHeight="1">
      <c r="A80" s="65">
        <v>74.0</v>
      </c>
      <c r="B80" s="127"/>
      <c r="C80" s="67"/>
      <c r="D80" s="67"/>
      <c r="E80" s="67"/>
      <c r="F80" s="67"/>
      <c r="G80" s="69"/>
      <c r="H80" s="69"/>
      <c r="I80" s="85">
        <f t="shared" si="1"/>
        <v>19488.84</v>
      </c>
      <c r="J80" s="121"/>
      <c r="K80" s="77"/>
    </row>
    <row r="81" ht="14.25" customHeight="1">
      <c r="A81" s="81">
        <v>75.0</v>
      </c>
      <c r="B81" s="125"/>
      <c r="C81" s="83"/>
      <c r="D81" s="83"/>
      <c r="E81" s="83"/>
      <c r="F81" s="83"/>
      <c r="G81" s="84"/>
      <c r="H81" s="84"/>
      <c r="I81" s="85">
        <f t="shared" si="1"/>
        <v>19488.84</v>
      </c>
      <c r="J81" s="126"/>
      <c r="K81" s="77"/>
    </row>
    <row r="82" ht="14.25" customHeight="1">
      <c r="A82" s="65">
        <v>76.0</v>
      </c>
      <c r="B82" s="127"/>
      <c r="C82" s="67"/>
      <c r="D82" s="67"/>
      <c r="E82" s="67"/>
      <c r="F82" s="67"/>
      <c r="G82" s="69"/>
      <c r="H82" s="69"/>
      <c r="I82" s="85">
        <f t="shared" si="1"/>
        <v>19488.84</v>
      </c>
      <c r="J82" s="121"/>
      <c r="K82" s="77"/>
    </row>
    <row r="83" ht="14.25" customHeight="1">
      <c r="A83" s="81">
        <v>77.0</v>
      </c>
      <c r="B83" s="125"/>
      <c r="C83" s="83"/>
      <c r="D83" s="83"/>
      <c r="E83" s="83"/>
      <c r="F83" s="83"/>
      <c r="G83" s="84"/>
      <c r="H83" s="84"/>
      <c r="I83" s="85">
        <f t="shared" si="1"/>
        <v>19488.84</v>
      </c>
      <c r="J83" s="126"/>
      <c r="K83" s="77"/>
    </row>
    <row r="84" ht="14.25" customHeight="1">
      <c r="A84" s="47">
        <v>78.0</v>
      </c>
      <c r="B84" s="127"/>
      <c r="C84" s="67"/>
      <c r="D84" s="67"/>
      <c r="E84" s="67"/>
      <c r="F84" s="67"/>
      <c r="G84" s="69"/>
      <c r="H84" s="69"/>
      <c r="I84" s="85">
        <f t="shared" si="1"/>
        <v>19488.84</v>
      </c>
      <c r="J84" s="121"/>
      <c r="K84" s="77"/>
    </row>
    <row r="85" ht="14.25" customHeight="1">
      <c r="A85" s="65">
        <v>79.0</v>
      </c>
      <c r="B85" s="125"/>
      <c r="C85" s="83"/>
      <c r="D85" s="83"/>
      <c r="E85" s="83"/>
      <c r="F85" s="83"/>
      <c r="G85" s="84"/>
      <c r="H85" s="84"/>
      <c r="I85" s="85">
        <f t="shared" si="1"/>
        <v>19488.84</v>
      </c>
      <c r="J85" s="126"/>
      <c r="K85" s="77"/>
    </row>
    <row r="86" ht="14.25" customHeight="1">
      <c r="A86" s="81">
        <v>80.0</v>
      </c>
      <c r="B86" s="127"/>
      <c r="C86" s="67"/>
      <c r="D86" s="67"/>
      <c r="E86" s="67"/>
      <c r="F86" s="67"/>
      <c r="G86" s="69"/>
      <c r="H86" s="69"/>
      <c r="I86" s="85">
        <f t="shared" si="1"/>
        <v>19488.84</v>
      </c>
      <c r="J86" s="121"/>
      <c r="K86" s="77"/>
    </row>
    <row r="87" ht="14.25" customHeight="1">
      <c r="A87" s="47">
        <v>81.0</v>
      </c>
      <c r="B87" s="125"/>
      <c r="C87" s="83"/>
      <c r="D87" s="83"/>
      <c r="E87" s="83"/>
      <c r="F87" s="83"/>
      <c r="G87" s="84"/>
      <c r="H87" s="84"/>
      <c r="I87" s="85">
        <f t="shared" si="1"/>
        <v>19488.84</v>
      </c>
      <c r="J87" s="126"/>
      <c r="K87" s="77"/>
    </row>
    <row r="88" ht="14.25" customHeight="1">
      <c r="A88" s="65">
        <v>82.0</v>
      </c>
      <c r="B88" s="127"/>
      <c r="C88" s="67"/>
      <c r="D88" s="67"/>
      <c r="E88" s="67"/>
      <c r="F88" s="67"/>
      <c r="G88" s="69"/>
      <c r="H88" s="69"/>
      <c r="I88" s="85">
        <f t="shared" si="1"/>
        <v>19488.84</v>
      </c>
      <c r="J88" s="121"/>
      <c r="K88" s="77"/>
    </row>
    <row r="89" ht="14.25" customHeight="1">
      <c r="A89" s="81">
        <v>83.0</v>
      </c>
      <c r="B89" s="125"/>
      <c r="C89" s="83"/>
      <c r="D89" s="83"/>
      <c r="E89" s="83"/>
      <c r="F89" s="83"/>
      <c r="G89" s="84"/>
      <c r="H89" s="84"/>
      <c r="I89" s="85">
        <f t="shared" si="1"/>
        <v>19488.84</v>
      </c>
      <c r="J89" s="126"/>
      <c r="K89" s="77"/>
    </row>
    <row r="90" ht="14.25" customHeight="1">
      <c r="A90" s="65">
        <v>84.0</v>
      </c>
      <c r="B90" s="127"/>
      <c r="C90" s="67"/>
      <c r="D90" s="67"/>
      <c r="E90" s="67"/>
      <c r="F90" s="67"/>
      <c r="G90" s="69"/>
      <c r="H90" s="69"/>
      <c r="I90" s="85">
        <f t="shared" si="1"/>
        <v>19488.84</v>
      </c>
      <c r="J90" s="121"/>
      <c r="K90" s="77"/>
    </row>
    <row r="91" ht="14.25" customHeight="1">
      <c r="A91" s="81">
        <v>85.0</v>
      </c>
      <c r="B91" s="125"/>
      <c r="C91" s="83"/>
      <c r="D91" s="83"/>
      <c r="E91" s="83"/>
      <c r="F91" s="83"/>
      <c r="G91" s="84"/>
      <c r="H91" s="84"/>
      <c r="I91" s="85">
        <f t="shared" si="1"/>
        <v>19488.84</v>
      </c>
      <c r="J91" s="126"/>
      <c r="K91" s="77"/>
    </row>
    <row r="92" ht="14.25" customHeight="1">
      <c r="A92" s="65">
        <v>86.0</v>
      </c>
      <c r="B92" s="127"/>
      <c r="C92" s="67"/>
      <c r="D92" s="67"/>
      <c r="E92" s="67"/>
      <c r="F92" s="67"/>
      <c r="G92" s="69"/>
      <c r="H92" s="69"/>
      <c r="I92" s="85">
        <f t="shared" si="1"/>
        <v>19488.84</v>
      </c>
      <c r="J92" s="121"/>
      <c r="K92" s="77"/>
    </row>
    <row r="93" ht="14.25" customHeight="1">
      <c r="A93" s="81">
        <v>87.0</v>
      </c>
      <c r="B93" s="125"/>
      <c r="C93" s="83"/>
      <c r="D93" s="83"/>
      <c r="E93" s="83"/>
      <c r="F93" s="83"/>
      <c r="G93" s="84"/>
      <c r="H93" s="84"/>
      <c r="I93" s="85">
        <f t="shared" si="1"/>
        <v>19488.84</v>
      </c>
      <c r="J93" s="126"/>
      <c r="K93" s="77"/>
    </row>
    <row r="94" ht="14.25" customHeight="1">
      <c r="A94" s="47">
        <v>88.0</v>
      </c>
      <c r="B94" s="127"/>
      <c r="C94" s="67"/>
      <c r="D94" s="67"/>
      <c r="E94" s="67"/>
      <c r="F94" s="67"/>
      <c r="G94" s="69"/>
      <c r="H94" s="69"/>
      <c r="I94" s="85">
        <f t="shared" si="1"/>
        <v>19488.84</v>
      </c>
      <c r="J94" s="121"/>
      <c r="K94" s="77"/>
    </row>
    <row r="95" ht="14.25" customHeight="1">
      <c r="A95" s="65">
        <v>89.0</v>
      </c>
      <c r="B95" s="125"/>
      <c r="C95" s="83"/>
      <c r="D95" s="83"/>
      <c r="E95" s="83"/>
      <c r="F95" s="83"/>
      <c r="G95" s="84"/>
      <c r="H95" s="84"/>
      <c r="I95" s="85">
        <f t="shared" si="1"/>
        <v>19488.84</v>
      </c>
      <c r="J95" s="126"/>
      <c r="K95" s="77"/>
    </row>
    <row r="96" ht="14.25" customHeight="1">
      <c r="A96" s="81">
        <v>90.0</v>
      </c>
      <c r="B96" s="127"/>
      <c r="C96" s="67"/>
      <c r="D96" s="67"/>
      <c r="E96" s="67"/>
      <c r="F96" s="67"/>
      <c r="G96" s="69"/>
      <c r="H96" s="69"/>
      <c r="I96" s="85">
        <f t="shared" si="1"/>
        <v>19488.84</v>
      </c>
      <c r="J96" s="121"/>
      <c r="K96" s="77"/>
    </row>
    <row r="97" ht="14.25" customHeight="1">
      <c r="A97" s="47">
        <v>91.0</v>
      </c>
      <c r="B97" s="125"/>
      <c r="C97" s="83"/>
      <c r="D97" s="83"/>
      <c r="E97" s="83"/>
      <c r="F97" s="83"/>
      <c r="G97" s="84"/>
      <c r="H97" s="84"/>
      <c r="I97" s="85">
        <f t="shared" si="1"/>
        <v>19488.84</v>
      </c>
      <c r="J97" s="126"/>
      <c r="K97" s="77"/>
    </row>
    <row r="98" ht="14.25" customHeight="1">
      <c r="A98" s="65">
        <v>92.0</v>
      </c>
      <c r="B98" s="127"/>
      <c r="C98" s="67"/>
      <c r="D98" s="67"/>
      <c r="E98" s="67"/>
      <c r="F98" s="67"/>
      <c r="G98" s="69"/>
      <c r="H98" s="69"/>
      <c r="I98" s="85">
        <f t="shared" si="1"/>
        <v>19488.84</v>
      </c>
      <c r="J98" s="121"/>
      <c r="K98" s="77"/>
    </row>
    <row r="99" ht="14.25" customHeight="1">
      <c r="A99" s="81">
        <v>93.0</v>
      </c>
      <c r="B99" s="125"/>
      <c r="C99" s="83"/>
      <c r="D99" s="83"/>
      <c r="E99" s="83"/>
      <c r="F99" s="83"/>
      <c r="G99" s="84"/>
      <c r="H99" s="84"/>
      <c r="I99" s="85">
        <f t="shared" si="1"/>
        <v>19488.84</v>
      </c>
      <c r="J99" s="126"/>
      <c r="K99" s="77"/>
    </row>
    <row r="100" ht="14.25" customHeight="1">
      <c r="A100" s="65">
        <v>94.0</v>
      </c>
      <c r="B100" s="127"/>
      <c r="C100" s="67"/>
      <c r="D100" s="67"/>
      <c r="E100" s="67"/>
      <c r="F100" s="67"/>
      <c r="G100" s="69"/>
      <c r="H100" s="69"/>
      <c r="I100" s="85">
        <f t="shared" si="1"/>
        <v>19488.84</v>
      </c>
      <c r="J100" s="121"/>
      <c r="K100" s="77"/>
    </row>
    <row r="101" ht="14.25" customHeight="1">
      <c r="A101" s="81">
        <v>95.0</v>
      </c>
      <c r="B101" s="125"/>
      <c r="C101" s="83"/>
      <c r="D101" s="83"/>
      <c r="E101" s="83"/>
      <c r="F101" s="83"/>
      <c r="G101" s="84"/>
      <c r="H101" s="84"/>
      <c r="I101" s="85">
        <f t="shared" si="1"/>
        <v>19488.84</v>
      </c>
      <c r="J101" s="126"/>
      <c r="K101" s="77"/>
    </row>
    <row r="102" ht="14.25" customHeight="1">
      <c r="A102" s="65">
        <v>96.0</v>
      </c>
      <c r="B102" s="127"/>
      <c r="C102" s="67"/>
      <c r="D102" s="67"/>
      <c r="E102" s="67"/>
      <c r="F102" s="67"/>
      <c r="G102" s="69"/>
      <c r="H102" s="69"/>
      <c r="I102" s="85">
        <f t="shared" si="1"/>
        <v>19488.84</v>
      </c>
      <c r="J102" s="121"/>
      <c r="K102" s="77"/>
    </row>
    <row r="103" ht="14.25" customHeight="1">
      <c r="A103" s="81">
        <v>97.0</v>
      </c>
      <c r="B103" s="125"/>
      <c r="C103" s="83"/>
      <c r="D103" s="83"/>
      <c r="E103" s="83"/>
      <c r="F103" s="83"/>
      <c r="G103" s="84"/>
      <c r="H103" s="84"/>
      <c r="I103" s="85">
        <f t="shared" si="1"/>
        <v>19488.84</v>
      </c>
      <c r="J103" s="126"/>
      <c r="K103" s="77"/>
    </row>
    <row r="104" ht="14.25" customHeight="1">
      <c r="A104" s="47">
        <v>98.0</v>
      </c>
      <c r="B104" s="127"/>
      <c r="C104" s="67"/>
      <c r="D104" s="67"/>
      <c r="E104" s="67"/>
      <c r="F104" s="67"/>
      <c r="G104" s="69"/>
      <c r="H104" s="69"/>
      <c r="I104" s="85">
        <f t="shared" si="1"/>
        <v>19488.84</v>
      </c>
      <c r="J104" s="121"/>
      <c r="K104" s="77"/>
    </row>
    <row r="105" ht="14.25" customHeight="1">
      <c r="A105" s="65">
        <v>99.0</v>
      </c>
      <c r="B105" s="125"/>
      <c r="C105" s="83"/>
      <c r="D105" s="83"/>
      <c r="E105" s="83"/>
      <c r="F105" s="83"/>
      <c r="G105" s="84"/>
      <c r="H105" s="84"/>
      <c r="I105" s="85">
        <f t="shared" si="1"/>
        <v>19488.84</v>
      </c>
      <c r="J105" s="126"/>
      <c r="K105" s="77"/>
    </row>
    <row r="106" ht="14.25" customHeight="1">
      <c r="A106" s="81">
        <v>100.0</v>
      </c>
      <c r="B106" s="127"/>
      <c r="C106" s="67"/>
      <c r="D106" s="67"/>
      <c r="E106" s="67"/>
      <c r="F106" s="67"/>
      <c r="G106" s="69"/>
      <c r="H106" s="69"/>
      <c r="I106" s="85">
        <f t="shared" si="1"/>
        <v>19488.84</v>
      </c>
      <c r="J106" s="121"/>
      <c r="K106" s="77"/>
    </row>
    <row r="107" ht="14.25" customHeight="1">
      <c r="A107" s="47">
        <v>101.0</v>
      </c>
      <c r="B107" s="125"/>
      <c r="C107" s="83"/>
      <c r="D107" s="83"/>
      <c r="E107" s="83"/>
      <c r="F107" s="83"/>
      <c r="G107" s="84"/>
      <c r="H107" s="84"/>
      <c r="I107" s="85">
        <f t="shared" si="1"/>
        <v>19488.84</v>
      </c>
      <c r="J107" s="126"/>
      <c r="K107" s="77"/>
    </row>
    <row r="108" ht="14.25" customHeight="1">
      <c r="A108" s="65">
        <v>102.0</v>
      </c>
      <c r="B108" s="127"/>
      <c r="C108" s="67"/>
      <c r="D108" s="67"/>
      <c r="E108" s="67"/>
      <c r="F108" s="67"/>
      <c r="G108" s="69"/>
      <c r="H108" s="69"/>
      <c r="I108" s="85">
        <f t="shared" si="1"/>
        <v>19488.84</v>
      </c>
      <c r="J108" s="121"/>
      <c r="K108" s="77"/>
    </row>
    <row r="109" ht="14.25" customHeight="1">
      <c r="A109" s="81">
        <v>103.0</v>
      </c>
      <c r="B109" s="125"/>
      <c r="C109" s="83"/>
      <c r="D109" s="83"/>
      <c r="E109" s="83"/>
      <c r="F109" s="83"/>
      <c r="G109" s="84"/>
      <c r="H109" s="84"/>
      <c r="I109" s="85">
        <f t="shared" si="1"/>
        <v>19488.84</v>
      </c>
      <c r="J109" s="126"/>
      <c r="K109" s="77"/>
    </row>
    <row r="110" ht="14.25" customHeight="1">
      <c r="A110" s="65">
        <v>104.0</v>
      </c>
      <c r="B110" s="127"/>
      <c r="C110" s="67"/>
      <c r="D110" s="67"/>
      <c r="E110" s="67"/>
      <c r="F110" s="67"/>
      <c r="G110" s="69"/>
      <c r="H110" s="69"/>
      <c r="I110" s="85">
        <f t="shared" si="1"/>
        <v>19488.84</v>
      </c>
      <c r="J110" s="121"/>
      <c r="K110" s="77"/>
    </row>
    <row r="111" ht="14.25" customHeight="1">
      <c r="A111" s="81">
        <v>105.0</v>
      </c>
      <c r="B111" s="125"/>
      <c r="C111" s="83"/>
      <c r="D111" s="83"/>
      <c r="E111" s="83"/>
      <c r="F111" s="83"/>
      <c r="G111" s="84"/>
      <c r="H111" s="84"/>
      <c r="I111" s="85">
        <f t="shared" si="1"/>
        <v>19488.84</v>
      </c>
      <c r="J111" s="126"/>
      <c r="K111" s="77"/>
    </row>
    <row r="112" ht="14.25" customHeight="1">
      <c r="A112" s="65">
        <v>106.0</v>
      </c>
      <c r="B112" s="127"/>
      <c r="C112" s="67"/>
      <c r="D112" s="67"/>
      <c r="E112" s="67"/>
      <c r="F112" s="67"/>
      <c r="G112" s="69"/>
      <c r="H112" s="69"/>
      <c r="I112" s="85">
        <f t="shared" si="1"/>
        <v>19488.84</v>
      </c>
      <c r="J112" s="121"/>
      <c r="K112" s="77"/>
    </row>
    <row r="113" ht="14.25" customHeight="1">
      <c r="A113" s="81">
        <v>107.0</v>
      </c>
      <c r="B113" s="125"/>
      <c r="C113" s="83"/>
      <c r="D113" s="83"/>
      <c r="E113" s="83"/>
      <c r="F113" s="83"/>
      <c r="G113" s="84"/>
      <c r="H113" s="84"/>
      <c r="I113" s="85">
        <f t="shared" si="1"/>
        <v>19488.84</v>
      </c>
      <c r="J113" s="126"/>
      <c r="K113" s="77"/>
    </row>
    <row r="114" ht="14.25" customHeight="1">
      <c r="A114" s="47">
        <v>108.0</v>
      </c>
      <c r="B114" s="127"/>
      <c r="C114" s="67"/>
      <c r="D114" s="67"/>
      <c r="E114" s="67"/>
      <c r="F114" s="67"/>
      <c r="G114" s="69"/>
      <c r="H114" s="69"/>
      <c r="I114" s="85">
        <f t="shared" si="1"/>
        <v>19488.84</v>
      </c>
      <c r="J114" s="121"/>
      <c r="K114" s="77"/>
    </row>
    <row r="115" ht="14.25" customHeight="1">
      <c r="A115" s="65">
        <v>109.0</v>
      </c>
      <c r="B115" s="125"/>
      <c r="C115" s="83"/>
      <c r="D115" s="83"/>
      <c r="E115" s="83"/>
      <c r="F115" s="83"/>
      <c r="G115" s="84"/>
      <c r="H115" s="84"/>
      <c r="I115" s="85">
        <f t="shared" si="1"/>
        <v>19488.84</v>
      </c>
      <c r="J115" s="126"/>
      <c r="K115" s="77"/>
    </row>
    <row r="116" ht="14.25" customHeight="1">
      <c r="A116" s="81">
        <v>110.0</v>
      </c>
      <c r="B116" s="127"/>
      <c r="C116" s="67"/>
      <c r="D116" s="67"/>
      <c r="E116" s="67"/>
      <c r="F116" s="67"/>
      <c r="G116" s="69"/>
      <c r="H116" s="69"/>
      <c r="I116" s="85">
        <f t="shared" si="1"/>
        <v>19488.84</v>
      </c>
      <c r="J116" s="121"/>
      <c r="K116" s="77"/>
    </row>
    <row r="117" ht="14.25" customHeight="1">
      <c r="A117" s="47">
        <v>111.0</v>
      </c>
      <c r="B117" s="125"/>
      <c r="C117" s="83"/>
      <c r="D117" s="83"/>
      <c r="E117" s="83"/>
      <c r="F117" s="83"/>
      <c r="G117" s="84"/>
      <c r="H117" s="84"/>
      <c r="I117" s="85">
        <f t="shared" si="1"/>
        <v>19488.84</v>
      </c>
      <c r="J117" s="126"/>
      <c r="K117" s="77"/>
    </row>
    <row r="118" ht="14.25" customHeight="1">
      <c r="A118" s="65">
        <v>112.0</v>
      </c>
      <c r="B118" s="127"/>
      <c r="C118" s="67"/>
      <c r="D118" s="67"/>
      <c r="E118" s="67"/>
      <c r="F118" s="67"/>
      <c r="G118" s="69"/>
      <c r="H118" s="69"/>
      <c r="I118" s="85">
        <f t="shared" si="1"/>
        <v>19488.84</v>
      </c>
      <c r="J118" s="121"/>
      <c r="K118" s="77"/>
    </row>
    <row r="119" ht="14.25" customHeight="1">
      <c r="A119" s="81">
        <v>113.0</v>
      </c>
      <c r="B119" s="125"/>
      <c r="C119" s="83"/>
      <c r="D119" s="83"/>
      <c r="E119" s="83"/>
      <c r="F119" s="83"/>
      <c r="G119" s="84"/>
      <c r="H119" s="84"/>
      <c r="I119" s="85">
        <f t="shared" si="1"/>
        <v>19488.84</v>
      </c>
      <c r="J119" s="126"/>
      <c r="K119" s="77"/>
    </row>
    <row r="120" ht="14.25" customHeight="1">
      <c r="A120" s="65">
        <v>114.0</v>
      </c>
      <c r="B120" s="127"/>
      <c r="C120" s="67"/>
      <c r="D120" s="67"/>
      <c r="E120" s="67"/>
      <c r="F120" s="67"/>
      <c r="G120" s="69"/>
      <c r="H120" s="69"/>
      <c r="I120" s="85">
        <f t="shared" si="1"/>
        <v>19488.84</v>
      </c>
      <c r="J120" s="121"/>
      <c r="K120" s="77"/>
    </row>
    <row r="121" ht="14.25" customHeight="1">
      <c r="A121" s="81">
        <v>115.0</v>
      </c>
      <c r="B121" s="125"/>
      <c r="C121" s="83"/>
      <c r="D121" s="83"/>
      <c r="E121" s="83"/>
      <c r="F121" s="83"/>
      <c r="G121" s="84"/>
      <c r="H121" s="84"/>
      <c r="I121" s="85">
        <f t="shared" si="1"/>
        <v>19488.84</v>
      </c>
      <c r="J121" s="126"/>
      <c r="K121" s="77"/>
    </row>
    <row r="122" ht="14.25" customHeight="1">
      <c r="A122" s="65">
        <v>116.0</v>
      </c>
      <c r="B122" s="127"/>
      <c r="C122" s="67"/>
      <c r="D122" s="67"/>
      <c r="E122" s="67"/>
      <c r="F122" s="67"/>
      <c r="G122" s="69"/>
      <c r="H122" s="69"/>
      <c r="I122" s="85">
        <f t="shared" si="1"/>
        <v>19488.84</v>
      </c>
      <c r="J122" s="121"/>
      <c r="K122" s="77"/>
    </row>
    <row r="123" ht="14.25" customHeight="1">
      <c r="A123" s="81">
        <v>117.0</v>
      </c>
      <c r="B123" s="125"/>
      <c r="C123" s="83"/>
      <c r="D123" s="83"/>
      <c r="E123" s="83"/>
      <c r="F123" s="83"/>
      <c r="G123" s="84"/>
      <c r="H123" s="84"/>
      <c r="I123" s="85">
        <f t="shared" si="1"/>
        <v>19488.84</v>
      </c>
      <c r="J123" s="126"/>
      <c r="K123" s="77"/>
    </row>
    <row r="124" ht="14.25" customHeight="1">
      <c r="A124" s="47">
        <v>118.0</v>
      </c>
      <c r="B124" s="127"/>
      <c r="C124" s="67"/>
      <c r="D124" s="67"/>
      <c r="E124" s="67"/>
      <c r="F124" s="67"/>
      <c r="G124" s="69"/>
      <c r="H124" s="69"/>
      <c r="I124" s="85">
        <f t="shared" si="1"/>
        <v>19488.84</v>
      </c>
      <c r="J124" s="121"/>
      <c r="K124" s="77"/>
    </row>
    <row r="125" ht="14.25" customHeight="1">
      <c r="A125" s="65">
        <v>119.0</v>
      </c>
      <c r="B125" s="125"/>
      <c r="C125" s="83"/>
      <c r="D125" s="83"/>
      <c r="E125" s="83"/>
      <c r="F125" s="83"/>
      <c r="G125" s="84"/>
      <c r="H125" s="84"/>
      <c r="I125" s="85">
        <f t="shared" si="1"/>
        <v>19488.84</v>
      </c>
      <c r="J125" s="126"/>
      <c r="K125" s="77"/>
    </row>
    <row r="126" ht="14.25" customHeight="1">
      <c r="A126" s="81">
        <v>120.0</v>
      </c>
      <c r="B126" s="127"/>
      <c r="C126" s="67"/>
      <c r="D126" s="67"/>
      <c r="E126" s="67"/>
      <c r="F126" s="67"/>
      <c r="G126" s="69"/>
      <c r="H126" s="69"/>
      <c r="I126" s="85">
        <f t="shared" si="1"/>
        <v>19488.84</v>
      </c>
      <c r="J126" s="121"/>
      <c r="K126" s="77"/>
    </row>
    <row r="127" ht="14.25" customHeight="1">
      <c r="A127" s="47">
        <v>121.0</v>
      </c>
      <c r="B127" s="125"/>
      <c r="C127" s="83"/>
      <c r="D127" s="83"/>
      <c r="E127" s="83"/>
      <c r="F127" s="83"/>
      <c r="G127" s="84"/>
      <c r="H127" s="84"/>
      <c r="I127" s="85">
        <f t="shared" si="1"/>
        <v>19488.84</v>
      </c>
      <c r="J127" s="126"/>
      <c r="K127" s="77"/>
    </row>
    <row r="128" ht="14.25" customHeight="1">
      <c r="A128" s="65">
        <v>122.0</v>
      </c>
      <c r="B128" s="127"/>
      <c r="C128" s="67"/>
      <c r="D128" s="67"/>
      <c r="E128" s="67"/>
      <c r="F128" s="67"/>
      <c r="G128" s="69"/>
      <c r="H128" s="69"/>
      <c r="I128" s="85">
        <f t="shared" si="1"/>
        <v>19488.84</v>
      </c>
      <c r="J128" s="121"/>
      <c r="K128" s="77"/>
    </row>
    <row r="129" ht="14.25" customHeight="1">
      <c r="A129" s="81">
        <v>123.0</v>
      </c>
      <c r="B129" s="125"/>
      <c r="C129" s="83"/>
      <c r="D129" s="83"/>
      <c r="E129" s="83"/>
      <c r="F129" s="83"/>
      <c r="G129" s="84"/>
      <c r="H129" s="84"/>
      <c r="I129" s="85">
        <f t="shared" si="1"/>
        <v>19488.84</v>
      </c>
      <c r="J129" s="126"/>
      <c r="K129" s="77"/>
    </row>
    <row r="130" ht="14.25" customHeight="1">
      <c r="A130" s="65">
        <v>124.0</v>
      </c>
      <c r="B130" s="127"/>
      <c r="C130" s="67"/>
      <c r="D130" s="67"/>
      <c r="E130" s="67"/>
      <c r="F130" s="67"/>
      <c r="G130" s="69"/>
      <c r="H130" s="69"/>
      <c r="I130" s="85">
        <f t="shared" si="1"/>
        <v>19488.84</v>
      </c>
      <c r="J130" s="121"/>
      <c r="K130" s="77"/>
    </row>
    <row r="131" ht="14.25" customHeight="1">
      <c r="A131" s="81">
        <v>125.0</v>
      </c>
      <c r="B131" s="125"/>
      <c r="C131" s="83"/>
      <c r="D131" s="83"/>
      <c r="E131" s="83"/>
      <c r="F131" s="83"/>
      <c r="G131" s="84"/>
      <c r="H131" s="84"/>
      <c r="I131" s="85">
        <f t="shared" si="1"/>
        <v>19488.84</v>
      </c>
      <c r="J131" s="126"/>
      <c r="K131" s="77"/>
    </row>
    <row r="132" ht="14.25" customHeight="1">
      <c r="A132" s="65">
        <v>126.0</v>
      </c>
      <c r="B132" s="127"/>
      <c r="C132" s="67"/>
      <c r="D132" s="67"/>
      <c r="E132" s="67"/>
      <c r="F132" s="67"/>
      <c r="G132" s="69"/>
      <c r="H132" s="69"/>
      <c r="I132" s="85">
        <f t="shared" si="1"/>
        <v>19488.84</v>
      </c>
      <c r="J132" s="121"/>
      <c r="K132" s="77"/>
    </row>
    <row r="133" ht="14.25" customHeight="1">
      <c r="A133" s="81">
        <v>127.0</v>
      </c>
      <c r="B133" s="125"/>
      <c r="C133" s="83"/>
      <c r="D133" s="83"/>
      <c r="E133" s="83"/>
      <c r="F133" s="83"/>
      <c r="G133" s="84"/>
      <c r="H133" s="84"/>
      <c r="I133" s="85">
        <f t="shared" si="1"/>
        <v>19488.84</v>
      </c>
      <c r="J133" s="126"/>
      <c r="K133" s="77"/>
    </row>
    <row r="134" ht="14.25" customHeight="1">
      <c r="A134" s="47">
        <v>128.0</v>
      </c>
      <c r="B134" s="127"/>
      <c r="C134" s="67"/>
      <c r="D134" s="67"/>
      <c r="E134" s="67"/>
      <c r="F134" s="67"/>
      <c r="G134" s="69"/>
      <c r="H134" s="69"/>
      <c r="I134" s="85">
        <f t="shared" si="1"/>
        <v>19488.84</v>
      </c>
      <c r="J134" s="121"/>
      <c r="K134" s="77"/>
    </row>
    <row r="135" ht="14.25" customHeight="1">
      <c r="A135" s="65">
        <v>129.0</v>
      </c>
      <c r="B135" s="125"/>
      <c r="C135" s="83"/>
      <c r="D135" s="83"/>
      <c r="E135" s="83"/>
      <c r="F135" s="83"/>
      <c r="G135" s="84"/>
      <c r="H135" s="84"/>
      <c r="I135" s="85">
        <f t="shared" si="1"/>
        <v>19488.84</v>
      </c>
      <c r="J135" s="126"/>
      <c r="K135" s="77"/>
    </row>
    <row r="136" ht="14.25" customHeight="1">
      <c r="A136" s="81">
        <v>130.0</v>
      </c>
      <c r="B136" s="127"/>
      <c r="C136" s="67"/>
      <c r="D136" s="67"/>
      <c r="E136" s="67"/>
      <c r="F136" s="67"/>
      <c r="G136" s="69"/>
      <c r="H136" s="69"/>
      <c r="I136" s="85">
        <f t="shared" si="1"/>
        <v>19488.84</v>
      </c>
      <c r="J136" s="121"/>
      <c r="K136" s="77"/>
    </row>
    <row r="137" ht="14.25" customHeight="1">
      <c r="A137" s="47">
        <v>131.0</v>
      </c>
      <c r="B137" s="125"/>
      <c r="C137" s="83"/>
      <c r="D137" s="83"/>
      <c r="E137" s="83"/>
      <c r="F137" s="83"/>
      <c r="G137" s="84"/>
      <c r="H137" s="84"/>
      <c r="I137" s="85">
        <f t="shared" si="1"/>
        <v>19488.84</v>
      </c>
      <c r="J137" s="126"/>
      <c r="K137" s="77"/>
    </row>
    <row r="138" ht="14.25" customHeight="1">
      <c r="A138" s="65">
        <v>132.0</v>
      </c>
      <c r="B138" s="127"/>
      <c r="C138" s="67"/>
      <c r="D138" s="67"/>
      <c r="E138" s="67"/>
      <c r="F138" s="67"/>
      <c r="G138" s="69"/>
      <c r="H138" s="69"/>
      <c r="I138" s="85">
        <f t="shared" si="1"/>
        <v>19488.84</v>
      </c>
      <c r="J138" s="121"/>
      <c r="K138" s="77"/>
    </row>
    <row r="139" ht="14.25" customHeight="1">
      <c r="A139" s="81">
        <v>133.0</v>
      </c>
      <c r="B139" s="125"/>
      <c r="C139" s="83"/>
      <c r="D139" s="83"/>
      <c r="E139" s="83"/>
      <c r="F139" s="83"/>
      <c r="G139" s="84"/>
      <c r="H139" s="84"/>
      <c r="I139" s="85">
        <f t="shared" si="1"/>
        <v>19488.84</v>
      </c>
      <c r="J139" s="126"/>
      <c r="K139" s="77"/>
    </row>
    <row r="140" ht="14.25" customHeight="1">
      <c r="A140" s="65">
        <v>134.0</v>
      </c>
      <c r="B140" s="127"/>
      <c r="C140" s="67"/>
      <c r="D140" s="67"/>
      <c r="E140" s="67"/>
      <c r="F140" s="67"/>
      <c r="G140" s="69"/>
      <c r="H140" s="69"/>
      <c r="I140" s="85">
        <f t="shared" si="1"/>
        <v>19488.84</v>
      </c>
      <c r="J140" s="121"/>
      <c r="K140" s="77"/>
    </row>
    <row r="141" ht="14.25" customHeight="1">
      <c r="A141" s="81">
        <v>135.0</v>
      </c>
      <c r="B141" s="125"/>
      <c r="C141" s="83"/>
      <c r="D141" s="83"/>
      <c r="E141" s="83"/>
      <c r="F141" s="83"/>
      <c r="G141" s="84"/>
      <c r="H141" s="84"/>
      <c r="I141" s="85">
        <f t="shared" si="1"/>
        <v>19488.84</v>
      </c>
      <c r="J141" s="126"/>
      <c r="K141" s="77"/>
    </row>
    <row r="142" ht="14.25" customHeight="1">
      <c r="A142" s="65">
        <v>136.0</v>
      </c>
      <c r="B142" s="127"/>
      <c r="C142" s="67"/>
      <c r="D142" s="67"/>
      <c r="E142" s="67"/>
      <c r="F142" s="67"/>
      <c r="G142" s="69"/>
      <c r="H142" s="69"/>
      <c r="I142" s="85">
        <f t="shared" si="1"/>
        <v>19488.84</v>
      </c>
      <c r="J142" s="121"/>
      <c r="K142" s="77"/>
    </row>
    <row r="143" ht="14.25" customHeight="1">
      <c r="A143" s="81">
        <v>137.0</v>
      </c>
      <c r="B143" s="125"/>
      <c r="C143" s="83"/>
      <c r="D143" s="83"/>
      <c r="E143" s="83"/>
      <c r="F143" s="83"/>
      <c r="G143" s="84"/>
      <c r="H143" s="84"/>
      <c r="I143" s="85">
        <f t="shared" si="1"/>
        <v>19488.84</v>
      </c>
      <c r="J143" s="126"/>
      <c r="K143" s="77"/>
    </row>
    <row r="144" ht="14.25" customHeight="1">
      <c r="A144" s="47">
        <v>138.0</v>
      </c>
      <c r="B144" s="127"/>
      <c r="C144" s="67"/>
      <c r="D144" s="67"/>
      <c r="E144" s="67"/>
      <c r="F144" s="67"/>
      <c r="G144" s="69"/>
      <c r="H144" s="69"/>
      <c r="I144" s="85">
        <f t="shared" si="1"/>
        <v>19488.84</v>
      </c>
      <c r="J144" s="121"/>
      <c r="K144" s="77"/>
    </row>
    <row r="145" ht="14.25" customHeight="1">
      <c r="A145" s="65">
        <v>139.0</v>
      </c>
      <c r="B145" s="125"/>
      <c r="C145" s="83"/>
      <c r="D145" s="83"/>
      <c r="E145" s="83"/>
      <c r="F145" s="83"/>
      <c r="G145" s="84"/>
      <c r="H145" s="84"/>
      <c r="I145" s="85">
        <f t="shared" si="1"/>
        <v>19488.84</v>
      </c>
      <c r="J145" s="126"/>
      <c r="K145" s="77"/>
    </row>
    <row r="146" ht="14.25" customHeight="1">
      <c r="A146" s="81">
        <v>140.0</v>
      </c>
      <c r="B146" s="127"/>
      <c r="C146" s="67"/>
      <c r="D146" s="67"/>
      <c r="E146" s="67"/>
      <c r="F146" s="67"/>
      <c r="G146" s="69"/>
      <c r="H146" s="69"/>
      <c r="I146" s="85">
        <f t="shared" si="1"/>
        <v>19488.84</v>
      </c>
      <c r="J146" s="121"/>
      <c r="K146" s="77"/>
    </row>
    <row r="147" ht="14.25" customHeight="1">
      <c r="A147" s="47">
        <v>141.0</v>
      </c>
      <c r="B147" s="125"/>
      <c r="C147" s="83"/>
      <c r="D147" s="83"/>
      <c r="E147" s="83"/>
      <c r="F147" s="83"/>
      <c r="G147" s="84"/>
      <c r="H147" s="84"/>
      <c r="I147" s="85">
        <f t="shared" si="1"/>
        <v>19488.84</v>
      </c>
      <c r="J147" s="126"/>
      <c r="K147" s="77"/>
    </row>
    <row r="148" ht="14.25" customHeight="1">
      <c r="A148" s="65">
        <v>142.0</v>
      </c>
      <c r="B148" s="127"/>
      <c r="C148" s="67"/>
      <c r="D148" s="67"/>
      <c r="E148" s="67"/>
      <c r="F148" s="67"/>
      <c r="G148" s="69"/>
      <c r="H148" s="69"/>
      <c r="I148" s="85">
        <f t="shared" si="1"/>
        <v>19488.84</v>
      </c>
      <c r="J148" s="121"/>
      <c r="K148" s="77"/>
    </row>
    <row r="149" ht="14.25" customHeight="1">
      <c r="A149" s="81">
        <v>143.0</v>
      </c>
      <c r="B149" s="125"/>
      <c r="C149" s="83"/>
      <c r="D149" s="83"/>
      <c r="E149" s="83"/>
      <c r="F149" s="83"/>
      <c r="G149" s="84"/>
      <c r="H149" s="84"/>
      <c r="I149" s="85">
        <f t="shared" si="1"/>
        <v>19488.84</v>
      </c>
      <c r="J149" s="126"/>
      <c r="K149" s="77"/>
    </row>
    <row r="150" ht="14.25" customHeight="1">
      <c r="A150" s="65">
        <v>144.0</v>
      </c>
      <c r="B150" s="127"/>
      <c r="C150" s="67"/>
      <c r="D150" s="67"/>
      <c r="E150" s="67"/>
      <c r="F150" s="67"/>
      <c r="G150" s="69"/>
      <c r="H150" s="69"/>
      <c r="I150" s="85">
        <f t="shared" si="1"/>
        <v>19488.84</v>
      </c>
      <c r="J150" s="121"/>
      <c r="K150" s="77"/>
    </row>
    <row r="151" ht="14.25" customHeight="1">
      <c r="A151" s="81">
        <v>145.0</v>
      </c>
      <c r="B151" s="125"/>
      <c r="C151" s="83"/>
      <c r="D151" s="83"/>
      <c r="E151" s="83"/>
      <c r="F151" s="83"/>
      <c r="G151" s="84"/>
      <c r="H151" s="84"/>
      <c r="I151" s="85">
        <f t="shared" si="1"/>
        <v>19488.84</v>
      </c>
      <c r="J151" s="126"/>
      <c r="K151" s="77"/>
    </row>
    <row r="152" ht="14.25" customHeight="1">
      <c r="A152" s="65">
        <v>146.0</v>
      </c>
      <c r="B152" s="127"/>
      <c r="C152" s="67"/>
      <c r="D152" s="67"/>
      <c r="E152" s="67"/>
      <c r="F152" s="67"/>
      <c r="G152" s="69"/>
      <c r="H152" s="69"/>
      <c r="I152" s="85">
        <f t="shared" si="1"/>
        <v>19488.84</v>
      </c>
      <c r="J152" s="121"/>
      <c r="K152" s="77"/>
    </row>
    <row r="153" ht="14.25" customHeight="1">
      <c r="A153" s="81">
        <v>147.0</v>
      </c>
      <c r="B153" s="125"/>
      <c r="C153" s="83"/>
      <c r="D153" s="83"/>
      <c r="E153" s="83"/>
      <c r="F153" s="83"/>
      <c r="G153" s="84"/>
      <c r="H153" s="84"/>
      <c r="I153" s="85">
        <f t="shared" si="1"/>
        <v>19488.84</v>
      </c>
      <c r="J153" s="126"/>
      <c r="K153" s="77"/>
    </row>
    <row r="154" ht="14.25" customHeight="1">
      <c r="A154" s="47">
        <v>148.0</v>
      </c>
      <c r="B154" s="127"/>
      <c r="C154" s="67"/>
      <c r="D154" s="67"/>
      <c r="E154" s="67"/>
      <c r="F154" s="67"/>
      <c r="G154" s="69"/>
      <c r="H154" s="69"/>
      <c r="I154" s="85">
        <f t="shared" si="1"/>
        <v>19488.84</v>
      </c>
      <c r="J154" s="121"/>
      <c r="K154" s="77"/>
    </row>
    <row r="155" ht="14.25" customHeight="1">
      <c r="A155" s="65">
        <v>149.0</v>
      </c>
      <c r="B155" s="125"/>
      <c r="C155" s="83"/>
      <c r="D155" s="83"/>
      <c r="E155" s="83"/>
      <c r="F155" s="83"/>
      <c r="G155" s="84"/>
      <c r="H155" s="84"/>
      <c r="I155" s="85">
        <f t="shared" si="1"/>
        <v>19488.84</v>
      </c>
      <c r="J155" s="126"/>
      <c r="K155" s="77"/>
    </row>
    <row r="156" ht="14.25" customHeight="1">
      <c r="A156" s="81">
        <v>150.0</v>
      </c>
      <c r="B156" s="127"/>
      <c r="C156" s="67"/>
      <c r="D156" s="67"/>
      <c r="E156" s="67"/>
      <c r="F156" s="67"/>
      <c r="G156" s="69"/>
      <c r="H156" s="69"/>
      <c r="I156" s="85">
        <f t="shared" si="1"/>
        <v>19488.84</v>
      </c>
      <c r="J156" s="121"/>
      <c r="K156" s="77"/>
    </row>
    <row r="157" ht="14.25" customHeight="1">
      <c r="A157" s="47">
        <v>151.0</v>
      </c>
      <c r="B157" s="125"/>
      <c r="C157" s="83"/>
      <c r="D157" s="83"/>
      <c r="E157" s="83"/>
      <c r="F157" s="83"/>
      <c r="G157" s="84"/>
      <c r="H157" s="84"/>
      <c r="I157" s="85">
        <f t="shared" si="1"/>
        <v>19488.84</v>
      </c>
      <c r="J157" s="126"/>
      <c r="K157" s="77"/>
    </row>
    <row r="158" ht="14.25" customHeight="1">
      <c r="A158" s="65">
        <v>152.0</v>
      </c>
      <c r="B158" s="127"/>
      <c r="C158" s="67"/>
      <c r="D158" s="67"/>
      <c r="E158" s="67"/>
      <c r="F158" s="67"/>
      <c r="G158" s="69"/>
      <c r="H158" s="69"/>
      <c r="I158" s="85">
        <f t="shared" si="1"/>
        <v>19488.84</v>
      </c>
      <c r="J158" s="121"/>
      <c r="K158" s="77"/>
    </row>
    <row r="159" ht="14.25" customHeight="1">
      <c r="A159" s="81">
        <v>153.0</v>
      </c>
      <c r="B159" s="125"/>
      <c r="C159" s="83"/>
      <c r="D159" s="83"/>
      <c r="E159" s="83"/>
      <c r="F159" s="83"/>
      <c r="G159" s="84"/>
      <c r="H159" s="84"/>
      <c r="I159" s="85">
        <f t="shared" si="1"/>
        <v>19488.84</v>
      </c>
      <c r="J159" s="126"/>
      <c r="K159" s="77"/>
    </row>
    <row r="160" ht="14.25" customHeight="1">
      <c r="A160" s="65">
        <v>154.0</v>
      </c>
      <c r="B160" s="127"/>
      <c r="C160" s="67"/>
      <c r="D160" s="67"/>
      <c r="E160" s="67"/>
      <c r="F160" s="67"/>
      <c r="G160" s="69"/>
      <c r="H160" s="69"/>
      <c r="I160" s="85">
        <f t="shared" si="1"/>
        <v>19488.84</v>
      </c>
      <c r="J160" s="121"/>
      <c r="K160" s="77"/>
    </row>
    <row r="161" ht="14.25" customHeight="1">
      <c r="A161" s="81">
        <v>155.0</v>
      </c>
      <c r="B161" s="125"/>
      <c r="C161" s="83"/>
      <c r="D161" s="83"/>
      <c r="E161" s="83"/>
      <c r="F161" s="83"/>
      <c r="G161" s="84"/>
      <c r="H161" s="84"/>
      <c r="I161" s="85">
        <f t="shared" si="1"/>
        <v>19488.84</v>
      </c>
      <c r="J161" s="126"/>
      <c r="K161" s="77"/>
    </row>
    <row r="162" ht="14.25" customHeight="1">
      <c r="A162" s="65">
        <v>156.0</v>
      </c>
      <c r="B162" s="127"/>
      <c r="C162" s="67"/>
      <c r="D162" s="67"/>
      <c r="E162" s="67"/>
      <c r="F162" s="67"/>
      <c r="G162" s="69"/>
      <c r="H162" s="69"/>
      <c r="I162" s="85">
        <f t="shared" si="1"/>
        <v>19488.84</v>
      </c>
      <c r="J162" s="121"/>
      <c r="K162" s="77"/>
    </row>
    <row r="163" ht="14.25" customHeight="1">
      <c r="A163" s="81">
        <v>157.0</v>
      </c>
      <c r="B163" s="125"/>
      <c r="C163" s="83"/>
      <c r="D163" s="83"/>
      <c r="E163" s="83"/>
      <c r="F163" s="83"/>
      <c r="G163" s="84"/>
      <c r="H163" s="84"/>
      <c r="I163" s="85">
        <f t="shared" si="1"/>
        <v>19488.84</v>
      </c>
      <c r="J163" s="126"/>
      <c r="K163" s="77"/>
    </row>
    <row r="164" ht="14.25" customHeight="1">
      <c r="A164" s="47">
        <v>158.0</v>
      </c>
      <c r="B164" s="127"/>
      <c r="C164" s="67"/>
      <c r="D164" s="67"/>
      <c r="E164" s="67"/>
      <c r="F164" s="67"/>
      <c r="G164" s="69"/>
      <c r="H164" s="69"/>
      <c r="I164" s="85">
        <f t="shared" si="1"/>
        <v>19488.84</v>
      </c>
      <c r="J164" s="121"/>
      <c r="K164" s="77"/>
    </row>
    <row r="165" ht="14.25" customHeight="1">
      <c r="A165" s="65">
        <v>159.0</v>
      </c>
      <c r="B165" s="125"/>
      <c r="C165" s="83"/>
      <c r="D165" s="83"/>
      <c r="E165" s="83"/>
      <c r="F165" s="83"/>
      <c r="G165" s="84"/>
      <c r="H165" s="84"/>
      <c r="I165" s="85">
        <f t="shared" si="1"/>
        <v>19488.84</v>
      </c>
      <c r="J165" s="126"/>
      <c r="K165" s="77"/>
    </row>
    <row r="166" ht="14.25" customHeight="1">
      <c r="A166" s="81">
        <v>160.0</v>
      </c>
      <c r="B166" s="127"/>
      <c r="C166" s="67"/>
      <c r="D166" s="67"/>
      <c r="E166" s="67"/>
      <c r="F166" s="67"/>
      <c r="G166" s="69"/>
      <c r="H166" s="69"/>
      <c r="I166" s="85">
        <f t="shared" si="1"/>
        <v>19488.84</v>
      </c>
      <c r="J166" s="121"/>
      <c r="K166" s="77"/>
    </row>
    <row r="167" ht="14.25" customHeight="1">
      <c r="A167" s="47">
        <v>161.0</v>
      </c>
      <c r="B167" s="125"/>
      <c r="C167" s="83"/>
      <c r="D167" s="83"/>
      <c r="E167" s="83"/>
      <c r="F167" s="83"/>
      <c r="G167" s="84"/>
      <c r="H167" s="84"/>
      <c r="I167" s="85">
        <f t="shared" si="1"/>
        <v>19488.84</v>
      </c>
      <c r="J167" s="126"/>
      <c r="K167" s="77"/>
    </row>
    <row r="168" ht="14.25" customHeight="1">
      <c r="A168" s="65">
        <v>162.0</v>
      </c>
      <c r="B168" s="127"/>
      <c r="C168" s="67"/>
      <c r="D168" s="67"/>
      <c r="E168" s="67"/>
      <c r="F168" s="67"/>
      <c r="G168" s="69"/>
      <c r="H168" s="69"/>
      <c r="I168" s="85">
        <f t="shared" si="1"/>
        <v>19488.84</v>
      </c>
      <c r="J168" s="121"/>
      <c r="K168" s="77"/>
    </row>
    <row r="169" ht="14.25" customHeight="1">
      <c r="A169" s="81">
        <v>163.0</v>
      </c>
      <c r="B169" s="125"/>
      <c r="C169" s="83"/>
      <c r="D169" s="83"/>
      <c r="E169" s="83"/>
      <c r="F169" s="83"/>
      <c r="G169" s="84"/>
      <c r="H169" s="84"/>
      <c r="I169" s="85">
        <f t="shared" si="1"/>
        <v>19488.84</v>
      </c>
      <c r="J169" s="126"/>
      <c r="K169" s="77"/>
    </row>
    <row r="170" ht="14.25" customHeight="1">
      <c r="A170" s="65">
        <v>164.0</v>
      </c>
      <c r="B170" s="127"/>
      <c r="C170" s="67"/>
      <c r="D170" s="67"/>
      <c r="E170" s="67"/>
      <c r="F170" s="67"/>
      <c r="G170" s="69"/>
      <c r="H170" s="69"/>
      <c r="I170" s="85">
        <f t="shared" si="1"/>
        <v>19488.84</v>
      </c>
      <c r="J170" s="121"/>
      <c r="K170" s="77"/>
    </row>
    <row r="171" ht="14.25" customHeight="1">
      <c r="A171" s="81">
        <v>165.0</v>
      </c>
      <c r="B171" s="125"/>
      <c r="C171" s="83"/>
      <c r="D171" s="83"/>
      <c r="E171" s="83"/>
      <c r="F171" s="83"/>
      <c r="G171" s="84"/>
      <c r="H171" s="84"/>
      <c r="I171" s="85">
        <f t="shared" si="1"/>
        <v>19488.84</v>
      </c>
      <c r="J171" s="126"/>
      <c r="K171" s="77"/>
    </row>
    <row r="172" ht="14.25" customHeight="1">
      <c r="A172" s="65">
        <v>166.0</v>
      </c>
      <c r="B172" s="127"/>
      <c r="C172" s="67"/>
      <c r="D172" s="67"/>
      <c r="E172" s="67"/>
      <c r="F172" s="67"/>
      <c r="G172" s="69"/>
      <c r="H172" s="69"/>
      <c r="I172" s="85">
        <f t="shared" si="1"/>
        <v>19488.84</v>
      </c>
      <c r="J172" s="121"/>
      <c r="K172" s="77"/>
    </row>
    <row r="173" ht="14.25" customHeight="1">
      <c r="A173" s="81">
        <v>167.0</v>
      </c>
      <c r="B173" s="125"/>
      <c r="C173" s="83"/>
      <c r="D173" s="83"/>
      <c r="E173" s="83"/>
      <c r="F173" s="83"/>
      <c r="G173" s="84"/>
      <c r="H173" s="84"/>
      <c r="I173" s="85">
        <f t="shared" si="1"/>
        <v>19488.84</v>
      </c>
      <c r="J173" s="126"/>
      <c r="K173" s="77"/>
    </row>
    <row r="174" ht="14.25" customHeight="1">
      <c r="A174" s="47">
        <v>168.0</v>
      </c>
      <c r="B174" s="127"/>
      <c r="C174" s="67"/>
      <c r="D174" s="67"/>
      <c r="E174" s="67"/>
      <c r="F174" s="67"/>
      <c r="G174" s="69"/>
      <c r="H174" s="69"/>
      <c r="I174" s="85">
        <f t="shared" si="1"/>
        <v>19488.84</v>
      </c>
      <c r="J174" s="121"/>
      <c r="K174" s="77"/>
    </row>
    <row r="175" ht="14.25" customHeight="1">
      <c r="A175" s="65">
        <v>169.0</v>
      </c>
      <c r="B175" s="125"/>
      <c r="C175" s="83"/>
      <c r="D175" s="83"/>
      <c r="E175" s="83"/>
      <c r="F175" s="83"/>
      <c r="G175" s="84"/>
      <c r="H175" s="84"/>
      <c r="I175" s="85">
        <f t="shared" si="1"/>
        <v>19488.84</v>
      </c>
      <c r="J175" s="126"/>
      <c r="K175" s="77"/>
    </row>
    <row r="176" ht="14.25" customHeight="1">
      <c r="A176" s="81">
        <v>170.0</v>
      </c>
      <c r="B176" s="127"/>
      <c r="C176" s="67"/>
      <c r="D176" s="67"/>
      <c r="E176" s="67"/>
      <c r="F176" s="67"/>
      <c r="G176" s="69"/>
      <c r="H176" s="69"/>
      <c r="I176" s="85">
        <f t="shared" si="1"/>
        <v>19488.84</v>
      </c>
      <c r="J176" s="121"/>
      <c r="K176" s="77"/>
    </row>
    <row r="177" ht="14.25" customHeight="1">
      <c r="A177" s="47">
        <v>171.0</v>
      </c>
      <c r="B177" s="125"/>
      <c r="C177" s="83"/>
      <c r="D177" s="83"/>
      <c r="E177" s="83"/>
      <c r="F177" s="83"/>
      <c r="G177" s="84"/>
      <c r="H177" s="84"/>
      <c r="I177" s="85">
        <f t="shared" si="1"/>
        <v>19488.84</v>
      </c>
      <c r="J177" s="126"/>
      <c r="K177" s="77"/>
    </row>
    <row r="178" ht="14.25" customHeight="1">
      <c r="A178" s="65">
        <v>172.0</v>
      </c>
      <c r="B178" s="127"/>
      <c r="C178" s="67"/>
      <c r="D178" s="67"/>
      <c r="E178" s="67"/>
      <c r="F178" s="67"/>
      <c r="G178" s="69"/>
      <c r="H178" s="69"/>
      <c r="I178" s="85">
        <f t="shared" si="1"/>
        <v>19488.84</v>
      </c>
      <c r="J178" s="121"/>
      <c r="K178" s="77"/>
    </row>
    <row r="179" ht="14.25" customHeight="1">
      <c r="A179" s="81">
        <v>173.0</v>
      </c>
      <c r="B179" s="125"/>
      <c r="C179" s="83"/>
      <c r="D179" s="83"/>
      <c r="E179" s="83"/>
      <c r="F179" s="83"/>
      <c r="G179" s="84"/>
      <c r="H179" s="84"/>
      <c r="I179" s="85">
        <f t="shared" si="1"/>
        <v>19488.84</v>
      </c>
      <c r="J179" s="126"/>
      <c r="K179" s="77"/>
    </row>
    <row r="180" ht="14.25" customHeight="1">
      <c r="A180" s="65">
        <v>174.0</v>
      </c>
      <c r="B180" s="127"/>
      <c r="C180" s="67"/>
      <c r="D180" s="67"/>
      <c r="E180" s="67"/>
      <c r="F180" s="67"/>
      <c r="G180" s="69"/>
      <c r="H180" s="69"/>
      <c r="I180" s="85">
        <f t="shared" si="1"/>
        <v>19488.84</v>
      </c>
      <c r="J180" s="121"/>
      <c r="K180" s="77"/>
    </row>
    <row r="181" ht="14.25" customHeight="1">
      <c r="A181" s="81">
        <v>175.0</v>
      </c>
      <c r="B181" s="125"/>
      <c r="C181" s="83"/>
      <c r="D181" s="83"/>
      <c r="E181" s="83"/>
      <c r="F181" s="83"/>
      <c r="G181" s="84"/>
      <c r="H181" s="84"/>
      <c r="I181" s="85">
        <f t="shared" si="1"/>
        <v>19488.84</v>
      </c>
      <c r="J181" s="126"/>
      <c r="K181" s="77"/>
    </row>
    <row r="182" ht="14.25" customHeight="1">
      <c r="A182" s="65">
        <v>176.0</v>
      </c>
      <c r="B182" s="127"/>
      <c r="C182" s="67"/>
      <c r="D182" s="67"/>
      <c r="E182" s="67"/>
      <c r="F182" s="67"/>
      <c r="G182" s="69"/>
      <c r="H182" s="69"/>
      <c r="I182" s="85">
        <f t="shared" si="1"/>
        <v>19488.84</v>
      </c>
      <c r="J182" s="121"/>
      <c r="K182" s="77"/>
    </row>
    <row r="183" ht="14.25" customHeight="1">
      <c r="A183" s="81">
        <v>177.0</v>
      </c>
      <c r="B183" s="125"/>
      <c r="C183" s="83"/>
      <c r="D183" s="83"/>
      <c r="E183" s="83"/>
      <c r="F183" s="83"/>
      <c r="G183" s="84"/>
      <c r="H183" s="84"/>
      <c r="I183" s="85">
        <f t="shared" si="1"/>
        <v>19488.84</v>
      </c>
      <c r="J183" s="126"/>
      <c r="K183" s="77"/>
    </row>
    <row r="184" ht="14.25" customHeight="1">
      <c r="A184" s="47">
        <v>178.0</v>
      </c>
      <c r="B184" s="127"/>
      <c r="C184" s="67"/>
      <c r="D184" s="67"/>
      <c r="E184" s="67"/>
      <c r="F184" s="67"/>
      <c r="G184" s="69"/>
      <c r="H184" s="69"/>
      <c r="I184" s="85">
        <f t="shared" si="1"/>
        <v>19488.84</v>
      </c>
      <c r="J184" s="121"/>
      <c r="K184" s="77"/>
    </row>
    <row r="185" ht="14.25" customHeight="1">
      <c r="A185" s="65">
        <v>179.0</v>
      </c>
      <c r="B185" s="125"/>
      <c r="C185" s="83"/>
      <c r="D185" s="83"/>
      <c r="E185" s="83"/>
      <c r="F185" s="83"/>
      <c r="G185" s="84"/>
      <c r="H185" s="84"/>
      <c r="I185" s="85">
        <f t="shared" si="1"/>
        <v>19488.84</v>
      </c>
      <c r="J185" s="126"/>
      <c r="K185" s="77"/>
    </row>
    <row r="186" ht="14.25" customHeight="1">
      <c r="A186" s="81">
        <v>180.0</v>
      </c>
      <c r="B186" s="127"/>
      <c r="C186" s="67"/>
      <c r="D186" s="67"/>
      <c r="E186" s="67"/>
      <c r="F186" s="67"/>
      <c r="G186" s="69"/>
      <c r="H186" s="69"/>
      <c r="I186" s="85">
        <f t="shared" si="1"/>
        <v>19488.84</v>
      </c>
      <c r="J186" s="121"/>
      <c r="K186" s="77"/>
    </row>
    <row r="187" ht="14.25" customHeight="1">
      <c r="A187" s="47">
        <v>181.0</v>
      </c>
      <c r="B187" s="125"/>
      <c r="C187" s="83"/>
      <c r="D187" s="83"/>
      <c r="E187" s="83"/>
      <c r="F187" s="83"/>
      <c r="G187" s="84"/>
      <c r="H187" s="84"/>
      <c r="I187" s="85">
        <f t="shared" si="1"/>
        <v>19488.84</v>
      </c>
      <c r="J187" s="126"/>
      <c r="K187" s="77"/>
    </row>
    <row r="188" ht="14.25" customHeight="1">
      <c r="A188" s="65">
        <v>182.0</v>
      </c>
      <c r="B188" s="127"/>
      <c r="C188" s="67"/>
      <c r="D188" s="67"/>
      <c r="E188" s="67"/>
      <c r="F188" s="67"/>
      <c r="G188" s="69"/>
      <c r="H188" s="69"/>
      <c r="I188" s="85">
        <f t="shared" si="1"/>
        <v>19488.84</v>
      </c>
      <c r="J188" s="121"/>
      <c r="K188" s="77"/>
    </row>
    <row r="189" ht="14.25" customHeight="1">
      <c r="A189" s="81">
        <v>183.0</v>
      </c>
      <c r="B189" s="125"/>
      <c r="C189" s="83"/>
      <c r="D189" s="83"/>
      <c r="E189" s="83"/>
      <c r="F189" s="83"/>
      <c r="G189" s="84"/>
      <c r="H189" s="84"/>
      <c r="I189" s="85">
        <f t="shared" si="1"/>
        <v>19488.84</v>
      </c>
      <c r="J189" s="126"/>
      <c r="K189" s="77"/>
    </row>
    <row r="190" ht="14.25" customHeight="1">
      <c r="A190" s="65">
        <v>184.0</v>
      </c>
      <c r="B190" s="127"/>
      <c r="C190" s="67"/>
      <c r="D190" s="67"/>
      <c r="E190" s="67"/>
      <c r="F190" s="67"/>
      <c r="G190" s="69"/>
      <c r="H190" s="69"/>
      <c r="I190" s="85">
        <f t="shared" si="1"/>
        <v>19488.84</v>
      </c>
      <c r="J190" s="121"/>
      <c r="K190" s="77"/>
    </row>
    <row r="191" ht="14.25" customHeight="1">
      <c r="A191" s="81">
        <v>185.0</v>
      </c>
      <c r="B191" s="125"/>
      <c r="C191" s="83"/>
      <c r="D191" s="83"/>
      <c r="E191" s="83"/>
      <c r="F191" s="83"/>
      <c r="G191" s="84"/>
      <c r="H191" s="84"/>
      <c r="I191" s="85">
        <f t="shared" si="1"/>
        <v>19488.84</v>
      </c>
      <c r="J191" s="126"/>
      <c r="K191" s="77"/>
    </row>
    <row r="192" ht="14.25" customHeight="1">
      <c r="A192" s="65">
        <v>186.0</v>
      </c>
      <c r="B192" s="127"/>
      <c r="C192" s="67"/>
      <c r="D192" s="67"/>
      <c r="E192" s="67"/>
      <c r="F192" s="67"/>
      <c r="G192" s="69"/>
      <c r="H192" s="69"/>
      <c r="I192" s="85">
        <f t="shared" si="1"/>
        <v>19488.84</v>
      </c>
      <c r="J192" s="121"/>
      <c r="K192" s="77"/>
    </row>
    <row r="193" ht="14.25" customHeight="1">
      <c r="A193" s="81">
        <v>187.0</v>
      </c>
      <c r="B193" s="125"/>
      <c r="C193" s="83"/>
      <c r="D193" s="83"/>
      <c r="E193" s="83"/>
      <c r="F193" s="83"/>
      <c r="G193" s="84"/>
      <c r="H193" s="84"/>
      <c r="I193" s="85">
        <f t="shared" si="1"/>
        <v>19488.84</v>
      </c>
      <c r="J193" s="126"/>
      <c r="K193" s="77"/>
    </row>
    <row r="194" ht="14.25" customHeight="1">
      <c r="A194" s="47">
        <v>188.0</v>
      </c>
      <c r="B194" s="127"/>
      <c r="C194" s="67"/>
      <c r="D194" s="67"/>
      <c r="E194" s="67"/>
      <c r="F194" s="67"/>
      <c r="G194" s="69"/>
      <c r="H194" s="69"/>
      <c r="I194" s="85">
        <f t="shared" si="1"/>
        <v>19488.84</v>
      </c>
      <c r="J194" s="121"/>
      <c r="K194" s="77"/>
    </row>
    <row r="195" ht="14.25" customHeight="1">
      <c r="A195" s="65">
        <v>189.0</v>
      </c>
      <c r="B195" s="125"/>
      <c r="C195" s="83"/>
      <c r="D195" s="83"/>
      <c r="E195" s="83"/>
      <c r="F195" s="83"/>
      <c r="G195" s="84"/>
      <c r="H195" s="84"/>
      <c r="I195" s="85">
        <f t="shared" si="1"/>
        <v>19488.84</v>
      </c>
      <c r="J195" s="126"/>
      <c r="K195" s="77"/>
    </row>
    <row r="196" ht="14.25" customHeight="1">
      <c r="A196" s="81">
        <v>190.0</v>
      </c>
      <c r="B196" s="127"/>
      <c r="C196" s="67"/>
      <c r="D196" s="67"/>
      <c r="E196" s="67"/>
      <c r="F196" s="67"/>
      <c r="G196" s="69"/>
      <c r="H196" s="69"/>
      <c r="I196" s="85">
        <f t="shared" si="1"/>
        <v>19488.84</v>
      </c>
      <c r="J196" s="121"/>
      <c r="K196" s="77"/>
    </row>
    <row r="197" ht="14.25" customHeight="1">
      <c r="A197" s="47">
        <v>191.0</v>
      </c>
      <c r="B197" s="125"/>
      <c r="C197" s="83"/>
      <c r="D197" s="83"/>
      <c r="E197" s="83"/>
      <c r="F197" s="83"/>
      <c r="G197" s="84"/>
      <c r="H197" s="84"/>
      <c r="I197" s="85">
        <f t="shared" si="1"/>
        <v>19488.84</v>
      </c>
      <c r="J197" s="126"/>
      <c r="K197" s="77"/>
    </row>
    <row r="198" ht="14.25" customHeight="1">
      <c r="A198" s="65">
        <v>192.0</v>
      </c>
      <c r="B198" s="127"/>
      <c r="C198" s="67"/>
      <c r="D198" s="67"/>
      <c r="E198" s="67"/>
      <c r="F198" s="67"/>
      <c r="G198" s="69"/>
      <c r="H198" s="69"/>
      <c r="I198" s="85">
        <f t="shared" si="1"/>
        <v>19488.84</v>
      </c>
      <c r="J198" s="121"/>
      <c r="K198" s="77"/>
    </row>
    <row r="199" ht="14.25" customHeight="1">
      <c r="A199" s="81">
        <v>193.0</v>
      </c>
      <c r="B199" s="125"/>
      <c r="C199" s="83"/>
      <c r="D199" s="83"/>
      <c r="E199" s="83"/>
      <c r="F199" s="83"/>
      <c r="G199" s="84"/>
      <c r="H199" s="84"/>
      <c r="I199" s="85">
        <f t="shared" si="1"/>
        <v>19488.84</v>
      </c>
      <c r="J199" s="126"/>
      <c r="K199" s="77"/>
    </row>
    <row r="200" ht="14.25" customHeight="1">
      <c r="A200" s="65">
        <v>194.0</v>
      </c>
      <c r="B200" s="127"/>
      <c r="C200" s="67"/>
      <c r="D200" s="67"/>
      <c r="E200" s="67"/>
      <c r="F200" s="67"/>
      <c r="G200" s="69"/>
      <c r="H200" s="69"/>
      <c r="I200" s="85">
        <f t="shared" si="1"/>
        <v>19488.84</v>
      </c>
      <c r="J200" s="121"/>
      <c r="K200" s="77"/>
    </row>
    <row r="201" ht="14.25" customHeight="1">
      <c r="A201" s="81">
        <v>195.0</v>
      </c>
      <c r="B201" s="125"/>
      <c r="C201" s="83"/>
      <c r="D201" s="83"/>
      <c r="E201" s="83"/>
      <c r="F201" s="83"/>
      <c r="G201" s="84"/>
      <c r="H201" s="84"/>
      <c r="I201" s="85">
        <f t="shared" si="1"/>
        <v>19488.84</v>
      </c>
      <c r="J201" s="126"/>
      <c r="K201" s="77"/>
    </row>
    <row r="202" ht="14.25" customHeight="1">
      <c r="A202" s="65">
        <v>196.0</v>
      </c>
      <c r="B202" s="127"/>
      <c r="C202" s="67"/>
      <c r="D202" s="67"/>
      <c r="E202" s="67"/>
      <c r="F202" s="67"/>
      <c r="G202" s="69"/>
      <c r="H202" s="69"/>
      <c r="I202" s="85">
        <f t="shared" si="1"/>
        <v>19488.84</v>
      </c>
      <c r="J202" s="121"/>
      <c r="K202" s="77"/>
    </row>
    <row r="203" ht="14.25" customHeight="1">
      <c r="A203" s="81">
        <v>197.0</v>
      </c>
      <c r="B203" s="125"/>
      <c r="C203" s="83"/>
      <c r="D203" s="83"/>
      <c r="E203" s="83"/>
      <c r="F203" s="83"/>
      <c r="G203" s="84"/>
      <c r="H203" s="84"/>
      <c r="I203" s="85">
        <f t="shared" si="1"/>
        <v>19488.84</v>
      </c>
      <c r="J203" s="136"/>
    </row>
    <row r="204" ht="14.25" customHeight="1">
      <c r="A204" s="47">
        <v>198.0</v>
      </c>
      <c r="B204" s="127"/>
      <c r="C204" s="67"/>
      <c r="D204" s="67"/>
      <c r="E204" s="67"/>
      <c r="F204" s="67"/>
      <c r="G204" s="69"/>
      <c r="H204" s="69"/>
      <c r="I204" s="85">
        <f t="shared" si="1"/>
        <v>19488.84</v>
      </c>
      <c r="J204" s="137"/>
    </row>
    <row r="205" ht="14.25" customHeight="1">
      <c r="A205" s="65">
        <v>199.0</v>
      </c>
      <c r="B205" s="125"/>
      <c r="C205" s="83"/>
      <c r="D205" s="83"/>
      <c r="E205" s="83"/>
      <c r="F205" s="83"/>
      <c r="G205" s="84"/>
      <c r="H205" s="84"/>
      <c r="I205" s="85">
        <f t="shared" si="1"/>
        <v>19488.84</v>
      </c>
      <c r="J205" s="136"/>
    </row>
    <row r="206" ht="14.25" customHeight="1">
      <c r="A206" s="81">
        <v>200.0</v>
      </c>
      <c r="B206" s="127"/>
      <c r="C206" s="67"/>
      <c r="D206" s="67"/>
      <c r="E206" s="67"/>
      <c r="F206" s="67"/>
      <c r="G206" s="69"/>
      <c r="H206" s="69"/>
      <c r="I206" s="85">
        <f t="shared" si="1"/>
        <v>19488.84</v>
      </c>
      <c r="J206" s="137"/>
    </row>
    <row r="207" ht="14.25" customHeight="1">
      <c r="A207" s="47">
        <v>201.0</v>
      </c>
      <c r="B207" s="125"/>
      <c r="C207" s="83"/>
      <c r="D207" s="83"/>
      <c r="E207" s="83"/>
      <c r="F207" s="83"/>
      <c r="G207" s="84"/>
      <c r="H207" s="84"/>
      <c r="I207" s="85">
        <f t="shared" si="1"/>
        <v>19488.84</v>
      </c>
      <c r="J207" s="136"/>
    </row>
    <row r="208" ht="14.25" customHeight="1">
      <c r="A208" s="65">
        <v>202.0</v>
      </c>
      <c r="B208" s="127"/>
      <c r="C208" s="67"/>
      <c r="D208" s="67"/>
      <c r="E208" s="67"/>
      <c r="F208" s="67"/>
      <c r="G208" s="69"/>
      <c r="H208" s="69"/>
      <c r="I208" s="85">
        <f t="shared" si="1"/>
        <v>19488.84</v>
      </c>
      <c r="J208" s="137"/>
    </row>
    <row r="209" ht="14.25" customHeight="1">
      <c r="A209" s="138"/>
      <c r="B209" s="139"/>
      <c r="C209" s="138"/>
      <c r="D209" s="138"/>
      <c r="E209" s="138"/>
      <c r="F209" s="138"/>
      <c r="G209" s="138"/>
      <c r="H209" s="138"/>
      <c r="I209" s="138"/>
      <c r="J209" s="138"/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6:$J$208"/>
  <mergeCells count="3">
    <mergeCell ref="F2:G3"/>
    <mergeCell ref="V13:W13"/>
    <mergeCell ref="V18:W18"/>
  </mergeCells>
  <hyperlinks>
    <hyperlink r:id="rId1" ref="J7"/>
    <hyperlink r:id="rId2" ref="J8"/>
    <hyperlink r:id="rId3" ref="J9"/>
    <hyperlink r:id="rId4" ref="J10"/>
    <hyperlink r:id="rId5" ref="J11"/>
    <hyperlink r:id="rId6" ref="J12"/>
    <hyperlink r:id="rId7" ref="J13"/>
    <hyperlink r:id="rId8" ref="J15"/>
    <hyperlink r:id="rId9" ref="J16"/>
    <hyperlink r:id="rId10" ref="J17"/>
    <hyperlink r:id="rId11" ref="J18"/>
    <hyperlink r:id="rId12" ref="J19"/>
    <hyperlink r:id="rId13" ref="J20"/>
    <hyperlink r:id="rId14" ref="J21"/>
    <hyperlink r:id="rId15" ref="J22"/>
    <hyperlink r:id="rId16" ref="J23"/>
    <hyperlink r:id="rId17" ref="J24"/>
    <hyperlink r:id="rId18" ref="J25"/>
    <hyperlink r:id="rId19" ref="J26"/>
    <hyperlink r:id="rId20" ref="J27"/>
    <hyperlink r:id="rId21" ref="J28"/>
    <hyperlink r:id="rId22" ref="J29"/>
    <hyperlink r:id="rId23" ref="J30"/>
    <hyperlink r:id="rId24" ref="J31"/>
    <hyperlink r:id="rId25" ref="J32"/>
    <hyperlink r:id="rId26" ref="J33"/>
    <hyperlink r:id="rId27" ref="J34"/>
    <hyperlink r:id="rId28" ref="J35"/>
    <hyperlink r:id="rId29" ref="J36"/>
    <hyperlink r:id="rId30" ref="J37"/>
    <hyperlink r:id="rId31" ref="J38"/>
    <hyperlink r:id="rId32" ref="J39"/>
    <hyperlink r:id="rId33" ref="J40"/>
    <hyperlink r:id="rId34" ref="J41"/>
    <hyperlink r:id="rId35" ref="J42"/>
    <hyperlink r:id="rId36" ref="J43"/>
    <hyperlink r:id="rId37" ref="J45"/>
    <hyperlink r:id="rId38" ref="J47"/>
    <hyperlink r:id="rId39" ref="J48"/>
    <hyperlink r:id="rId40" ref="J49"/>
    <hyperlink r:id="rId41" ref="J50"/>
    <hyperlink r:id="rId42" ref="J51"/>
    <hyperlink r:id="rId43" ref="J52"/>
  </hyperlinks>
  <printOptions/>
  <pageMargins bottom="1.0" footer="0.0" header="0.0" left="0.75" right="0.75" top="1.0"/>
  <pageSetup orientation="portrait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14"/>
  </cols>
  <sheetData>
    <row r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1"/>
      <c r="B2" s="14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8"/>
      <c r="T2" s="20" t="s">
        <v>10</v>
      </c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20" t="s">
        <v>24</v>
      </c>
      <c r="C4" s="37"/>
      <c r="D4" s="37"/>
      <c r="E4" s="39">
        <v>30000.0</v>
      </c>
      <c r="F4" s="25"/>
      <c r="G4" s="20" t="s">
        <v>31</v>
      </c>
      <c r="H4" s="42">
        <v>46204.0</v>
      </c>
      <c r="I4" s="1"/>
      <c r="J4" s="20" t="s">
        <v>37</v>
      </c>
      <c r="K4" s="25"/>
      <c r="L4" s="39">
        <v>2000.0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46"/>
      <c r="C5" s="48"/>
      <c r="D5" s="48"/>
      <c r="E5" s="48"/>
      <c r="F5" s="48"/>
      <c r="G5" s="46"/>
      <c r="H5" s="52"/>
      <c r="I5" s="46"/>
      <c r="J5" s="46"/>
      <c r="K5" s="48"/>
      <c r="L5" s="48"/>
      <c r="M5" s="46"/>
      <c r="N5" s="46"/>
      <c r="O5" s="46"/>
      <c r="P5" s="46"/>
      <c r="Q5" s="46"/>
      <c r="R5" s="46"/>
      <c r="S5" s="4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"/>
      <c r="C7" s="62"/>
      <c r="D7" s="62"/>
      <c r="E7" s="63">
        <f>H4</f>
        <v>46204</v>
      </c>
      <c r="F7" s="63">
        <f t="shared" ref="F7:R7" si="1">IF(E7="","",DATE(YEAR(E7),MONTH(E7)+1,1))</f>
        <v>46235</v>
      </c>
      <c r="G7" s="63">
        <f t="shared" si="1"/>
        <v>46266</v>
      </c>
      <c r="H7" s="63">
        <f t="shared" si="1"/>
        <v>46296</v>
      </c>
      <c r="I7" s="63">
        <f t="shared" si="1"/>
        <v>46327</v>
      </c>
      <c r="J7" s="63">
        <f t="shared" si="1"/>
        <v>46357</v>
      </c>
      <c r="K7" s="63">
        <f t="shared" si="1"/>
        <v>46388</v>
      </c>
      <c r="L7" s="63">
        <f t="shared" si="1"/>
        <v>46419</v>
      </c>
      <c r="M7" s="63">
        <f t="shared" si="1"/>
        <v>46447</v>
      </c>
      <c r="N7" s="63">
        <f t="shared" si="1"/>
        <v>46478</v>
      </c>
      <c r="O7" s="63">
        <f t="shared" si="1"/>
        <v>46508</v>
      </c>
      <c r="P7" s="63">
        <f t="shared" si="1"/>
        <v>46539</v>
      </c>
      <c r="Q7" s="63">
        <f t="shared" si="1"/>
        <v>46569</v>
      </c>
      <c r="R7" s="63">
        <f t="shared" si="1"/>
        <v>46600</v>
      </c>
      <c r="S7" s="72" t="s">
        <v>64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3" t="s">
        <v>65</v>
      </c>
      <c r="C8" s="74"/>
      <c r="D8" s="74"/>
      <c r="E8" s="75"/>
      <c r="F8" s="79">
        <f>Ledger!I192</f>
        <v>19488.84</v>
      </c>
      <c r="G8" s="80">
        <f t="shared" ref="G8:R8" si="2">F19</f>
        <v>23936.84</v>
      </c>
      <c r="H8" s="80">
        <f t="shared" si="2"/>
        <v>28384.84</v>
      </c>
      <c r="I8" s="80">
        <f t="shared" si="2"/>
        <v>32832.84</v>
      </c>
      <c r="J8" s="80">
        <f t="shared" si="2"/>
        <v>37280.84</v>
      </c>
      <c r="K8" s="80">
        <f t="shared" si="2"/>
        <v>41728.84</v>
      </c>
      <c r="L8" s="80">
        <f t="shared" si="2"/>
        <v>46176.84</v>
      </c>
      <c r="M8" s="80">
        <f t="shared" si="2"/>
        <v>50624.84</v>
      </c>
      <c r="N8" s="80">
        <f t="shared" si="2"/>
        <v>55072.84</v>
      </c>
      <c r="O8" s="80">
        <f t="shared" si="2"/>
        <v>58408.84</v>
      </c>
      <c r="P8" s="80">
        <f t="shared" si="2"/>
        <v>61744.84</v>
      </c>
      <c r="Q8" s="80">
        <f t="shared" si="2"/>
        <v>63968.84</v>
      </c>
      <c r="R8" s="80">
        <f t="shared" si="2"/>
        <v>66192.84</v>
      </c>
      <c r="S8" s="49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87" t="s">
        <v>67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20" t="s">
        <v>71</v>
      </c>
      <c r="C12" s="91" t="s">
        <v>12</v>
      </c>
      <c r="D12" s="93">
        <v>46580.0</v>
      </c>
      <c r="E12" s="94">
        <v>1390.0</v>
      </c>
      <c r="F12" s="94">
        <f t="shared" ref="F12:Q12" si="3">1390*0.8</f>
        <v>1112</v>
      </c>
      <c r="G12" s="94">
        <f t="shared" si="3"/>
        <v>1112</v>
      </c>
      <c r="H12" s="94">
        <f t="shared" si="3"/>
        <v>1112</v>
      </c>
      <c r="I12" s="94">
        <f t="shared" si="3"/>
        <v>1112</v>
      </c>
      <c r="J12" s="94">
        <f t="shared" si="3"/>
        <v>1112</v>
      </c>
      <c r="K12" s="94">
        <f t="shared" si="3"/>
        <v>1112</v>
      </c>
      <c r="L12" s="94">
        <f t="shared" si="3"/>
        <v>1112</v>
      </c>
      <c r="M12" s="94">
        <f t="shared" si="3"/>
        <v>1112</v>
      </c>
      <c r="N12" s="94">
        <f t="shared" si="3"/>
        <v>1112</v>
      </c>
      <c r="O12" s="94">
        <f t="shared" si="3"/>
        <v>1112</v>
      </c>
      <c r="P12" s="94">
        <f t="shared" si="3"/>
        <v>1112</v>
      </c>
      <c r="Q12" s="94">
        <f t="shared" si="3"/>
        <v>1112</v>
      </c>
      <c r="R12" s="97"/>
      <c r="S12" s="99">
        <f t="shared" ref="S12:S15" si="5">SUM(E12:P12)</f>
        <v>13622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20"/>
      <c r="C13" s="91" t="s">
        <v>18</v>
      </c>
      <c r="D13" s="93">
        <v>46538.0</v>
      </c>
      <c r="E13" s="100">
        <f t="shared" ref="E13:E14" si="6">1390*0.4</f>
        <v>556</v>
      </c>
      <c r="F13" s="102">
        <f t="shared" ref="F13:O13" si="4">1390*0.8</f>
        <v>1112</v>
      </c>
      <c r="G13" s="102">
        <f t="shared" si="4"/>
        <v>1112</v>
      </c>
      <c r="H13" s="102">
        <f t="shared" si="4"/>
        <v>1112</v>
      </c>
      <c r="I13" s="102">
        <f t="shared" si="4"/>
        <v>1112</v>
      </c>
      <c r="J13" s="102">
        <f t="shared" si="4"/>
        <v>1112</v>
      </c>
      <c r="K13" s="102">
        <f t="shared" si="4"/>
        <v>1112</v>
      </c>
      <c r="L13" s="102">
        <f t="shared" si="4"/>
        <v>1112</v>
      </c>
      <c r="M13" s="102">
        <f t="shared" si="4"/>
        <v>1112</v>
      </c>
      <c r="N13" s="102">
        <f t="shared" si="4"/>
        <v>1112</v>
      </c>
      <c r="O13" s="102">
        <f t="shared" si="4"/>
        <v>1112</v>
      </c>
      <c r="P13" s="102"/>
      <c r="Q13" s="106"/>
      <c r="R13" s="106"/>
      <c r="S13" s="107">
        <f t="shared" si="5"/>
        <v>11676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20"/>
      <c r="C14" s="91" t="s">
        <v>23</v>
      </c>
      <c r="D14" s="93">
        <v>46591.0</v>
      </c>
      <c r="E14" s="109">
        <f t="shared" si="6"/>
        <v>556</v>
      </c>
      <c r="F14" s="109">
        <f t="shared" ref="F14:Q14" si="7">1390*0.8</f>
        <v>1112</v>
      </c>
      <c r="G14" s="109">
        <f t="shared" si="7"/>
        <v>1112</v>
      </c>
      <c r="H14" s="109">
        <f t="shared" si="7"/>
        <v>1112</v>
      </c>
      <c r="I14" s="109">
        <f t="shared" si="7"/>
        <v>1112</v>
      </c>
      <c r="J14" s="109">
        <f t="shared" si="7"/>
        <v>1112</v>
      </c>
      <c r="K14" s="109">
        <f t="shared" si="7"/>
        <v>1112</v>
      </c>
      <c r="L14" s="109">
        <f t="shared" si="7"/>
        <v>1112</v>
      </c>
      <c r="M14" s="109">
        <f t="shared" si="7"/>
        <v>1112</v>
      </c>
      <c r="N14" s="109">
        <f t="shared" si="7"/>
        <v>1112</v>
      </c>
      <c r="O14" s="109">
        <f t="shared" si="7"/>
        <v>1112</v>
      </c>
      <c r="P14" s="109">
        <f t="shared" si="7"/>
        <v>1112</v>
      </c>
      <c r="Q14" s="109">
        <f t="shared" si="7"/>
        <v>1112</v>
      </c>
      <c r="R14" s="106"/>
      <c r="S14" s="107">
        <f t="shared" si="5"/>
        <v>12788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20"/>
      <c r="C15" s="91" t="s">
        <v>18</v>
      </c>
      <c r="D15" s="93">
        <v>46469.0</v>
      </c>
      <c r="E15" s="94">
        <v>450.0</v>
      </c>
      <c r="F15" s="94">
        <v>1112.0</v>
      </c>
      <c r="G15" s="94">
        <v>1112.0</v>
      </c>
      <c r="H15" s="94">
        <v>1112.0</v>
      </c>
      <c r="I15" s="94">
        <v>1112.0</v>
      </c>
      <c r="J15" s="94">
        <v>1112.0</v>
      </c>
      <c r="K15" s="94">
        <v>1112.0</v>
      </c>
      <c r="L15" s="94">
        <v>1112.0</v>
      </c>
      <c r="M15" s="94">
        <v>1112.0</v>
      </c>
      <c r="N15" s="94"/>
      <c r="O15" s="94"/>
      <c r="P15" s="94"/>
      <c r="Q15" s="106"/>
      <c r="R15" s="106"/>
      <c r="S15" s="107">
        <f t="shared" si="5"/>
        <v>9346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20"/>
      <c r="C16" s="113"/>
      <c r="D16" s="113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6"/>
      <c r="R16" s="106"/>
      <c r="S16" s="107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20"/>
      <c r="C17" s="113"/>
      <c r="D17" s="113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6"/>
      <c r="R17" s="106"/>
      <c r="S17" s="10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20"/>
      <c r="C18" s="113"/>
      <c r="D18" s="113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6"/>
      <c r="R18" s="106"/>
      <c r="S18" s="107">
        <f>SUM(E18:P18)</f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14" t="s">
        <v>84</v>
      </c>
      <c r="C19" s="74"/>
      <c r="D19" s="74"/>
      <c r="E19" s="115">
        <f t="shared" ref="E19:P19" si="8">sum(E8:E18)</f>
        <v>2952</v>
      </c>
      <c r="F19" s="115">
        <f t="shared" si="8"/>
        <v>23936.84</v>
      </c>
      <c r="G19" s="115">
        <f t="shared" si="8"/>
        <v>28384.84</v>
      </c>
      <c r="H19" s="115">
        <f t="shared" si="8"/>
        <v>32832.84</v>
      </c>
      <c r="I19" s="115">
        <f t="shared" si="8"/>
        <v>37280.84</v>
      </c>
      <c r="J19" s="115">
        <f t="shared" si="8"/>
        <v>41728.84</v>
      </c>
      <c r="K19" s="115">
        <f t="shared" si="8"/>
        <v>46176.84</v>
      </c>
      <c r="L19" s="115">
        <f t="shared" si="8"/>
        <v>50624.84</v>
      </c>
      <c r="M19" s="115">
        <f t="shared" si="8"/>
        <v>55072.84</v>
      </c>
      <c r="N19" s="115">
        <f t="shared" si="8"/>
        <v>58408.84</v>
      </c>
      <c r="O19" s="115">
        <f t="shared" si="8"/>
        <v>61744.84</v>
      </c>
      <c r="P19" s="115">
        <f t="shared" si="8"/>
        <v>63968.84</v>
      </c>
      <c r="Q19" s="116">
        <f t="shared" ref="Q19:R19" si="9">SUM(Q8:Q18)</f>
        <v>66192.84</v>
      </c>
      <c r="R19" s="116">
        <f t="shared" si="9"/>
        <v>66192.84</v>
      </c>
      <c r="S19" s="117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25"/>
      <c r="D21" s="91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25"/>
      <c r="D22" s="91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</sheetData>
  <mergeCells count="3">
    <mergeCell ref="B1:S1"/>
    <mergeCell ref="B2:S2"/>
    <mergeCell ref="S7:S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14"/>
  </cols>
  <sheetData>
    <row r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1"/>
      <c r="B2" s="14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8"/>
      <c r="T2" s="20" t="s">
        <v>10</v>
      </c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20" t="s">
        <v>24</v>
      </c>
      <c r="C4" s="37"/>
      <c r="D4" s="37"/>
      <c r="E4" s="39"/>
      <c r="F4" s="25"/>
      <c r="G4" s="20" t="s">
        <v>31</v>
      </c>
      <c r="H4" s="42">
        <v>46204.0</v>
      </c>
      <c r="I4" s="1"/>
      <c r="J4" s="20" t="s">
        <v>37</v>
      </c>
      <c r="K4" s="25"/>
      <c r="L4" s="3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46"/>
      <c r="C5" s="48"/>
      <c r="D5" s="48"/>
      <c r="E5" s="48"/>
      <c r="F5" s="48"/>
      <c r="G5" s="46"/>
      <c r="H5" s="52"/>
      <c r="I5" s="46"/>
      <c r="J5" s="46"/>
      <c r="K5" s="48"/>
      <c r="L5" s="48"/>
      <c r="M5" s="46"/>
      <c r="N5" s="46"/>
      <c r="O5" s="46"/>
      <c r="P5" s="46"/>
      <c r="Q5" s="46"/>
      <c r="R5" s="46"/>
      <c r="S5" s="4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"/>
      <c r="C7" s="62"/>
      <c r="D7" s="62"/>
      <c r="E7" s="63">
        <f>H4</f>
        <v>46204</v>
      </c>
      <c r="F7" s="63">
        <f t="shared" ref="F7:R7" si="1">IF(E7="","",DATE(YEAR(E7),MONTH(E7)+1,1))</f>
        <v>46235</v>
      </c>
      <c r="G7" s="63">
        <f t="shared" si="1"/>
        <v>46266</v>
      </c>
      <c r="H7" s="63">
        <f t="shared" si="1"/>
        <v>46296</v>
      </c>
      <c r="I7" s="63">
        <f t="shared" si="1"/>
        <v>46327</v>
      </c>
      <c r="J7" s="63">
        <f t="shared" si="1"/>
        <v>46357</v>
      </c>
      <c r="K7" s="63">
        <f t="shared" si="1"/>
        <v>46388</v>
      </c>
      <c r="L7" s="63">
        <f t="shared" si="1"/>
        <v>46419</v>
      </c>
      <c r="M7" s="63">
        <f t="shared" si="1"/>
        <v>46447</v>
      </c>
      <c r="N7" s="63">
        <f t="shared" si="1"/>
        <v>46478</v>
      </c>
      <c r="O7" s="63">
        <f t="shared" si="1"/>
        <v>46508</v>
      </c>
      <c r="P7" s="63">
        <f t="shared" si="1"/>
        <v>46539</v>
      </c>
      <c r="Q7" s="63">
        <f t="shared" si="1"/>
        <v>46569</v>
      </c>
      <c r="R7" s="63">
        <f t="shared" si="1"/>
        <v>46600</v>
      </c>
      <c r="S7" s="72" t="s">
        <v>64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3" t="s">
        <v>65</v>
      </c>
      <c r="C8" s="74"/>
      <c r="D8" s="74"/>
      <c r="E8" s="75"/>
      <c r="F8" s="79">
        <f t="shared" ref="F8:Q8" si="2">E45-E46</f>
        <v>5518</v>
      </c>
      <c r="G8" s="79">
        <f t="shared" si="2"/>
        <v>11870</v>
      </c>
      <c r="H8" s="79">
        <f t="shared" si="2"/>
        <v>19334</v>
      </c>
      <c r="I8" s="79">
        <f t="shared" si="2"/>
        <v>27910</v>
      </c>
      <c r="J8" s="79">
        <f t="shared" si="2"/>
        <v>37598</v>
      </c>
      <c r="K8" s="79">
        <f t="shared" si="2"/>
        <v>58398</v>
      </c>
      <c r="L8" s="79">
        <f t="shared" si="2"/>
        <v>79198</v>
      </c>
      <c r="M8" s="79">
        <f t="shared" si="2"/>
        <v>99998</v>
      </c>
      <c r="N8" s="79">
        <f t="shared" si="2"/>
        <v>120798</v>
      </c>
      <c r="O8" s="79">
        <f t="shared" si="2"/>
        <v>141598</v>
      </c>
      <c r="P8" s="79">
        <f t="shared" si="2"/>
        <v>162398</v>
      </c>
      <c r="Q8" s="79">
        <f t="shared" si="2"/>
        <v>183198</v>
      </c>
      <c r="R8" s="80">
        <f>Q45</f>
        <v>203998</v>
      </c>
      <c r="S8" s="49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87" t="s">
        <v>67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90" t="s">
        <v>70</v>
      </c>
      <c r="D11" s="91" t="s">
        <v>72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95">
        <v>1.0</v>
      </c>
      <c r="C12" s="91"/>
      <c r="D12" s="93"/>
      <c r="E12" s="94">
        <f>1390</f>
        <v>1390</v>
      </c>
      <c r="F12" s="94">
        <f t="shared" ref="F12:Q12" si="3">1390*0.8</f>
        <v>1112</v>
      </c>
      <c r="G12" s="94">
        <f t="shared" si="3"/>
        <v>1112</v>
      </c>
      <c r="H12" s="94">
        <f t="shared" si="3"/>
        <v>1112</v>
      </c>
      <c r="I12" s="94">
        <f t="shared" si="3"/>
        <v>1112</v>
      </c>
      <c r="J12" s="94">
        <f t="shared" si="3"/>
        <v>1112</v>
      </c>
      <c r="K12" s="94">
        <f t="shared" si="3"/>
        <v>1112</v>
      </c>
      <c r="L12" s="94">
        <f t="shared" si="3"/>
        <v>1112</v>
      </c>
      <c r="M12" s="94">
        <f t="shared" si="3"/>
        <v>1112</v>
      </c>
      <c r="N12" s="94">
        <f t="shared" si="3"/>
        <v>1112</v>
      </c>
      <c r="O12" s="94">
        <f t="shared" si="3"/>
        <v>1112</v>
      </c>
      <c r="P12" s="94">
        <f t="shared" si="3"/>
        <v>1112</v>
      </c>
      <c r="Q12" s="94">
        <f t="shared" si="3"/>
        <v>1112</v>
      </c>
      <c r="R12" s="97"/>
      <c r="S12" s="99">
        <f t="shared" ref="S12:S36" si="5">SUM(E12:P12)</f>
        <v>13622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03">
        <v>2.0</v>
      </c>
      <c r="C13" s="104"/>
      <c r="D13" s="93"/>
      <c r="E13" s="94">
        <f t="shared" ref="E13:Q13" si="4">1390*0.8</f>
        <v>1112</v>
      </c>
      <c r="F13" s="94">
        <f t="shared" si="4"/>
        <v>1112</v>
      </c>
      <c r="G13" s="94">
        <f t="shared" si="4"/>
        <v>1112</v>
      </c>
      <c r="H13" s="94">
        <f t="shared" si="4"/>
        <v>1112</v>
      </c>
      <c r="I13" s="94">
        <f t="shared" si="4"/>
        <v>1112</v>
      </c>
      <c r="J13" s="94">
        <f t="shared" si="4"/>
        <v>1112</v>
      </c>
      <c r="K13" s="94">
        <f t="shared" si="4"/>
        <v>1112</v>
      </c>
      <c r="L13" s="94">
        <f t="shared" si="4"/>
        <v>1112</v>
      </c>
      <c r="M13" s="94">
        <f t="shared" si="4"/>
        <v>1112</v>
      </c>
      <c r="N13" s="94">
        <f t="shared" si="4"/>
        <v>1112</v>
      </c>
      <c r="O13" s="94">
        <f t="shared" si="4"/>
        <v>1112</v>
      </c>
      <c r="P13" s="94">
        <f t="shared" si="4"/>
        <v>1112</v>
      </c>
      <c r="Q13" s="94">
        <f t="shared" si="4"/>
        <v>1112</v>
      </c>
      <c r="R13" s="106"/>
      <c r="S13" s="99">
        <f t="shared" si="5"/>
        <v>13344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03">
        <v>3.0</v>
      </c>
      <c r="C14" s="104"/>
      <c r="D14" s="93"/>
      <c r="E14" s="94">
        <f t="shared" ref="E14:Q14" si="6">1390*0.8</f>
        <v>1112</v>
      </c>
      <c r="F14" s="94">
        <f t="shared" si="6"/>
        <v>1112</v>
      </c>
      <c r="G14" s="94">
        <f t="shared" si="6"/>
        <v>1112</v>
      </c>
      <c r="H14" s="94">
        <f t="shared" si="6"/>
        <v>1112</v>
      </c>
      <c r="I14" s="94">
        <f t="shared" si="6"/>
        <v>1112</v>
      </c>
      <c r="J14" s="94">
        <f t="shared" si="6"/>
        <v>1112</v>
      </c>
      <c r="K14" s="94">
        <f t="shared" si="6"/>
        <v>1112</v>
      </c>
      <c r="L14" s="94">
        <f t="shared" si="6"/>
        <v>1112</v>
      </c>
      <c r="M14" s="94">
        <f t="shared" si="6"/>
        <v>1112</v>
      </c>
      <c r="N14" s="94">
        <f t="shared" si="6"/>
        <v>1112</v>
      </c>
      <c r="O14" s="94">
        <f t="shared" si="6"/>
        <v>1112</v>
      </c>
      <c r="P14" s="94">
        <f t="shared" si="6"/>
        <v>1112</v>
      </c>
      <c r="Q14" s="94">
        <f t="shared" si="6"/>
        <v>1112</v>
      </c>
      <c r="R14" s="106"/>
      <c r="S14" s="99">
        <f t="shared" si="5"/>
        <v>13344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03">
        <v>4.0</v>
      </c>
      <c r="C15" s="104"/>
      <c r="D15" s="93"/>
      <c r="E15" s="94">
        <f t="shared" ref="E15:Q15" si="7">1390*0.8</f>
        <v>1112</v>
      </c>
      <c r="F15" s="94">
        <f t="shared" si="7"/>
        <v>1112</v>
      </c>
      <c r="G15" s="94">
        <f t="shared" si="7"/>
        <v>1112</v>
      </c>
      <c r="H15" s="94">
        <f t="shared" si="7"/>
        <v>1112</v>
      </c>
      <c r="I15" s="94">
        <f t="shared" si="7"/>
        <v>1112</v>
      </c>
      <c r="J15" s="94">
        <f t="shared" si="7"/>
        <v>1112</v>
      </c>
      <c r="K15" s="94">
        <f t="shared" si="7"/>
        <v>1112</v>
      </c>
      <c r="L15" s="94">
        <f t="shared" si="7"/>
        <v>1112</v>
      </c>
      <c r="M15" s="94">
        <f t="shared" si="7"/>
        <v>1112</v>
      </c>
      <c r="N15" s="94">
        <f t="shared" si="7"/>
        <v>1112</v>
      </c>
      <c r="O15" s="94">
        <f t="shared" si="7"/>
        <v>1112</v>
      </c>
      <c r="P15" s="94">
        <f t="shared" si="7"/>
        <v>1112</v>
      </c>
      <c r="Q15" s="94">
        <f t="shared" si="7"/>
        <v>1112</v>
      </c>
      <c r="R15" s="106"/>
      <c r="S15" s="99">
        <f t="shared" si="5"/>
        <v>13344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03">
        <v>5.0</v>
      </c>
      <c r="C16" s="104"/>
      <c r="D16" s="93"/>
      <c r="E16" s="94">
        <f t="shared" ref="E16:Q16" si="8">1390*0.8</f>
        <v>1112</v>
      </c>
      <c r="F16" s="94">
        <f t="shared" si="8"/>
        <v>1112</v>
      </c>
      <c r="G16" s="94">
        <f t="shared" si="8"/>
        <v>1112</v>
      </c>
      <c r="H16" s="94">
        <f t="shared" si="8"/>
        <v>1112</v>
      </c>
      <c r="I16" s="94">
        <f t="shared" si="8"/>
        <v>1112</v>
      </c>
      <c r="J16" s="94">
        <f t="shared" si="8"/>
        <v>1112</v>
      </c>
      <c r="K16" s="94">
        <f t="shared" si="8"/>
        <v>1112</v>
      </c>
      <c r="L16" s="94">
        <f t="shared" si="8"/>
        <v>1112</v>
      </c>
      <c r="M16" s="94">
        <f t="shared" si="8"/>
        <v>1112</v>
      </c>
      <c r="N16" s="94">
        <f t="shared" si="8"/>
        <v>1112</v>
      </c>
      <c r="O16" s="94">
        <f t="shared" si="8"/>
        <v>1112</v>
      </c>
      <c r="P16" s="94">
        <f t="shared" si="8"/>
        <v>1112</v>
      </c>
      <c r="Q16" s="94">
        <f t="shared" si="8"/>
        <v>1112</v>
      </c>
      <c r="R16" s="106"/>
      <c r="S16" s="99">
        <f t="shared" si="5"/>
        <v>13344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03">
        <v>6.0</v>
      </c>
      <c r="C17" s="104"/>
      <c r="D17" s="93"/>
      <c r="E17" s="94">
        <f t="shared" ref="E17:Q17" si="9">1390*0.8</f>
        <v>1112</v>
      </c>
      <c r="F17" s="94">
        <f t="shared" si="9"/>
        <v>1112</v>
      </c>
      <c r="G17" s="94">
        <f t="shared" si="9"/>
        <v>1112</v>
      </c>
      <c r="H17" s="94">
        <f t="shared" si="9"/>
        <v>1112</v>
      </c>
      <c r="I17" s="94">
        <f t="shared" si="9"/>
        <v>1112</v>
      </c>
      <c r="J17" s="94">
        <f t="shared" si="9"/>
        <v>1112</v>
      </c>
      <c r="K17" s="94">
        <f t="shared" si="9"/>
        <v>1112</v>
      </c>
      <c r="L17" s="94">
        <f t="shared" si="9"/>
        <v>1112</v>
      </c>
      <c r="M17" s="94">
        <f t="shared" si="9"/>
        <v>1112</v>
      </c>
      <c r="N17" s="94">
        <f t="shared" si="9"/>
        <v>1112</v>
      </c>
      <c r="O17" s="94">
        <f t="shared" si="9"/>
        <v>1112</v>
      </c>
      <c r="P17" s="94">
        <f t="shared" si="9"/>
        <v>1112</v>
      </c>
      <c r="Q17" s="94">
        <f t="shared" si="9"/>
        <v>1112</v>
      </c>
      <c r="R17" s="106"/>
      <c r="S17" s="99">
        <f t="shared" si="5"/>
        <v>13344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03">
        <v>7.0</v>
      </c>
      <c r="C18" s="104"/>
      <c r="D18" s="93"/>
      <c r="E18" s="94">
        <f t="shared" ref="E18:Q18" si="10">1390*0.8</f>
        <v>1112</v>
      </c>
      <c r="F18" s="94">
        <f t="shared" si="10"/>
        <v>1112</v>
      </c>
      <c r="G18" s="94">
        <f t="shared" si="10"/>
        <v>1112</v>
      </c>
      <c r="H18" s="94">
        <f t="shared" si="10"/>
        <v>1112</v>
      </c>
      <c r="I18" s="94">
        <f t="shared" si="10"/>
        <v>1112</v>
      </c>
      <c r="J18" s="94">
        <f t="shared" si="10"/>
        <v>1112</v>
      </c>
      <c r="K18" s="94">
        <f t="shared" si="10"/>
        <v>1112</v>
      </c>
      <c r="L18" s="94">
        <f t="shared" si="10"/>
        <v>1112</v>
      </c>
      <c r="M18" s="94">
        <f t="shared" si="10"/>
        <v>1112</v>
      </c>
      <c r="N18" s="94">
        <f t="shared" si="10"/>
        <v>1112</v>
      </c>
      <c r="O18" s="94">
        <f t="shared" si="10"/>
        <v>1112</v>
      </c>
      <c r="P18" s="94">
        <f t="shared" si="10"/>
        <v>1112</v>
      </c>
      <c r="Q18" s="94">
        <f t="shared" si="10"/>
        <v>1112</v>
      </c>
      <c r="R18" s="106"/>
      <c r="S18" s="99">
        <f t="shared" si="5"/>
        <v>13344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03">
        <v>8.0</v>
      </c>
      <c r="C19" s="104"/>
      <c r="D19" s="93"/>
      <c r="E19" s="94">
        <f t="shared" ref="E19:Q19" si="11">1390*0.8</f>
        <v>1112</v>
      </c>
      <c r="F19" s="94">
        <f t="shared" si="11"/>
        <v>1112</v>
      </c>
      <c r="G19" s="94">
        <f t="shared" si="11"/>
        <v>1112</v>
      </c>
      <c r="H19" s="94">
        <f t="shared" si="11"/>
        <v>1112</v>
      </c>
      <c r="I19" s="94">
        <f t="shared" si="11"/>
        <v>1112</v>
      </c>
      <c r="J19" s="94">
        <f t="shared" si="11"/>
        <v>1112</v>
      </c>
      <c r="K19" s="94">
        <f t="shared" si="11"/>
        <v>1112</v>
      </c>
      <c r="L19" s="94">
        <f t="shared" si="11"/>
        <v>1112</v>
      </c>
      <c r="M19" s="94">
        <f t="shared" si="11"/>
        <v>1112</v>
      </c>
      <c r="N19" s="94">
        <f t="shared" si="11"/>
        <v>1112</v>
      </c>
      <c r="O19" s="94">
        <f t="shared" si="11"/>
        <v>1112</v>
      </c>
      <c r="P19" s="94">
        <f t="shared" si="11"/>
        <v>1112</v>
      </c>
      <c r="Q19" s="94">
        <f t="shared" si="11"/>
        <v>1112</v>
      </c>
      <c r="R19" s="106"/>
      <c r="S19" s="99">
        <f t="shared" si="5"/>
        <v>13344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03">
        <v>9.0</v>
      </c>
      <c r="C20" s="104"/>
      <c r="D20" s="93"/>
      <c r="E20" s="94">
        <f t="shared" ref="E20:Q20" si="12">1390*0.8</f>
        <v>1112</v>
      </c>
      <c r="F20" s="94">
        <f t="shared" si="12"/>
        <v>1112</v>
      </c>
      <c r="G20" s="94">
        <f t="shared" si="12"/>
        <v>1112</v>
      </c>
      <c r="H20" s="94">
        <f t="shared" si="12"/>
        <v>1112</v>
      </c>
      <c r="I20" s="94">
        <f t="shared" si="12"/>
        <v>1112</v>
      </c>
      <c r="J20" s="94">
        <f t="shared" si="12"/>
        <v>1112</v>
      </c>
      <c r="K20" s="94">
        <f t="shared" si="12"/>
        <v>1112</v>
      </c>
      <c r="L20" s="94">
        <f t="shared" si="12"/>
        <v>1112</v>
      </c>
      <c r="M20" s="94">
        <f t="shared" si="12"/>
        <v>1112</v>
      </c>
      <c r="N20" s="94">
        <f t="shared" si="12"/>
        <v>1112</v>
      </c>
      <c r="O20" s="94">
        <f t="shared" si="12"/>
        <v>1112</v>
      </c>
      <c r="P20" s="94">
        <f t="shared" si="12"/>
        <v>1112</v>
      </c>
      <c r="Q20" s="94">
        <f t="shared" si="12"/>
        <v>1112</v>
      </c>
      <c r="R20" s="106"/>
      <c r="S20" s="99">
        <f t="shared" si="5"/>
        <v>13344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03">
        <v>10.0</v>
      </c>
      <c r="C21" s="104"/>
      <c r="D21" s="93"/>
      <c r="E21" s="94">
        <f t="shared" ref="E21:Q21" si="13">1390*0.8</f>
        <v>1112</v>
      </c>
      <c r="F21" s="94">
        <f t="shared" si="13"/>
        <v>1112</v>
      </c>
      <c r="G21" s="94">
        <f t="shared" si="13"/>
        <v>1112</v>
      </c>
      <c r="H21" s="94">
        <f t="shared" si="13"/>
        <v>1112</v>
      </c>
      <c r="I21" s="94">
        <f t="shared" si="13"/>
        <v>1112</v>
      </c>
      <c r="J21" s="94">
        <f t="shared" si="13"/>
        <v>1112</v>
      </c>
      <c r="K21" s="94">
        <f t="shared" si="13"/>
        <v>1112</v>
      </c>
      <c r="L21" s="94">
        <f t="shared" si="13"/>
        <v>1112</v>
      </c>
      <c r="M21" s="94">
        <f t="shared" si="13"/>
        <v>1112</v>
      </c>
      <c r="N21" s="94">
        <f t="shared" si="13"/>
        <v>1112</v>
      </c>
      <c r="O21" s="94">
        <f t="shared" si="13"/>
        <v>1112</v>
      </c>
      <c r="P21" s="94">
        <f t="shared" si="13"/>
        <v>1112</v>
      </c>
      <c r="Q21" s="94">
        <f t="shared" si="13"/>
        <v>1112</v>
      </c>
      <c r="R21" s="106"/>
      <c r="S21" s="99">
        <f t="shared" si="5"/>
        <v>13344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03">
        <v>11.0</v>
      </c>
      <c r="C22" s="104"/>
      <c r="D22" s="93"/>
      <c r="E22" s="94">
        <f t="shared" ref="E22:Q22" si="14">1390*0.8</f>
        <v>1112</v>
      </c>
      <c r="F22" s="94">
        <f t="shared" si="14"/>
        <v>1112</v>
      </c>
      <c r="G22" s="94">
        <f t="shared" si="14"/>
        <v>1112</v>
      </c>
      <c r="H22" s="94">
        <f t="shared" si="14"/>
        <v>1112</v>
      </c>
      <c r="I22" s="94">
        <f t="shared" si="14"/>
        <v>1112</v>
      </c>
      <c r="J22" s="94">
        <f t="shared" si="14"/>
        <v>1112</v>
      </c>
      <c r="K22" s="94">
        <f t="shared" si="14"/>
        <v>1112</v>
      </c>
      <c r="L22" s="94">
        <f t="shared" si="14"/>
        <v>1112</v>
      </c>
      <c r="M22" s="94">
        <f t="shared" si="14"/>
        <v>1112</v>
      </c>
      <c r="N22" s="94">
        <f t="shared" si="14"/>
        <v>1112</v>
      </c>
      <c r="O22" s="94">
        <f t="shared" si="14"/>
        <v>1112</v>
      </c>
      <c r="P22" s="94">
        <f t="shared" si="14"/>
        <v>1112</v>
      </c>
      <c r="Q22" s="94">
        <f t="shared" si="14"/>
        <v>1112</v>
      </c>
      <c r="R22" s="106"/>
      <c r="S22" s="99">
        <f t="shared" si="5"/>
        <v>13344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03">
        <v>12.0</v>
      </c>
      <c r="C23" s="104"/>
      <c r="D23" s="93"/>
      <c r="E23" s="94">
        <f t="shared" ref="E23:Q23" si="15">1390*0.8</f>
        <v>1112</v>
      </c>
      <c r="F23" s="94">
        <f t="shared" si="15"/>
        <v>1112</v>
      </c>
      <c r="G23" s="94">
        <f t="shared" si="15"/>
        <v>1112</v>
      </c>
      <c r="H23" s="94">
        <f t="shared" si="15"/>
        <v>1112</v>
      </c>
      <c r="I23" s="94">
        <f t="shared" si="15"/>
        <v>1112</v>
      </c>
      <c r="J23" s="94">
        <f t="shared" si="15"/>
        <v>1112</v>
      </c>
      <c r="K23" s="94">
        <f t="shared" si="15"/>
        <v>1112</v>
      </c>
      <c r="L23" s="94">
        <f t="shared" si="15"/>
        <v>1112</v>
      </c>
      <c r="M23" s="94">
        <f t="shared" si="15"/>
        <v>1112</v>
      </c>
      <c r="N23" s="94">
        <f t="shared" si="15"/>
        <v>1112</v>
      </c>
      <c r="O23" s="94">
        <f t="shared" si="15"/>
        <v>1112</v>
      </c>
      <c r="P23" s="94">
        <f t="shared" si="15"/>
        <v>1112</v>
      </c>
      <c r="Q23" s="94">
        <f t="shared" si="15"/>
        <v>1112</v>
      </c>
      <c r="R23" s="106"/>
      <c r="S23" s="99">
        <f t="shared" si="5"/>
        <v>13344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03">
        <v>13.0</v>
      </c>
      <c r="C24" s="104"/>
      <c r="D24" s="93"/>
      <c r="E24" s="94">
        <f t="shared" ref="E24:Q24" si="16">1390*0.8</f>
        <v>1112</v>
      </c>
      <c r="F24" s="94">
        <f t="shared" si="16"/>
        <v>1112</v>
      </c>
      <c r="G24" s="94">
        <f t="shared" si="16"/>
        <v>1112</v>
      </c>
      <c r="H24" s="94">
        <f t="shared" si="16"/>
        <v>1112</v>
      </c>
      <c r="I24" s="94">
        <f t="shared" si="16"/>
        <v>1112</v>
      </c>
      <c r="J24" s="94">
        <f t="shared" si="16"/>
        <v>1112</v>
      </c>
      <c r="K24" s="94">
        <f t="shared" si="16"/>
        <v>1112</v>
      </c>
      <c r="L24" s="94">
        <f t="shared" si="16"/>
        <v>1112</v>
      </c>
      <c r="M24" s="94">
        <f t="shared" si="16"/>
        <v>1112</v>
      </c>
      <c r="N24" s="94">
        <f t="shared" si="16"/>
        <v>1112</v>
      </c>
      <c r="O24" s="94">
        <f t="shared" si="16"/>
        <v>1112</v>
      </c>
      <c r="P24" s="94">
        <f t="shared" si="16"/>
        <v>1112</v>
      </c>
      <c r="Q24" s="94">
        <f t="shared" si="16"/>
        <v>1112</v>
      </c>
      <c r="R24" s="106"/>
      <c r="S24" s="99">
        <f t="shared" si="5"/>
        <v>13344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03">
        <v>14.0</v>
      </c>
      <c r="C25" s="104"/>
      <c r="D25" s="93"/>
      <c r="E25" s="94">
        <f t="shared" ref="E25:Q25" si="17">1390*0.8</f>
        <v>1112</v>
      </c>
      <c r="F25" s="94">
        <f t="shared" si="17"/>
        <v>1112</v>
      </c>
      <c r="G25" s="94">
        <f t="shared" si="17"/>
        <v>1112</v>
      </c>
      <c r="H25" s="94">
        <f t="shared" si="17"/>
        <v>1112</v>
      </c>
      <c r="I25" s="94">
        <f t="shared" si="17"/>
        <v>1112</v>
      </c>
      <c r="J25" s="94">
        <f t="shared" si="17"/>
        <v>1112</v>
      </c>
      <c r="K25" s="94">
        <f t="shared" si="17"/>
        <v>1112</v>
      </c>
      <c r="L25" s="94">
        <f t="shared" si="17"/>
        <v>1112</v>
      </c>
      <c r="M25" s="94">
        <f t="shared" si="17"/>
        <v>1112</v>
      </c>
      <c r="N25" s="94">
        <f t="shared" si="17"/>
        <v>1112</v>
      </c>
      <c r="O25" s="94">
        <f t="shared" si="17"/>
        <v>1112</v>
      </c>
      <c r="P25" s="94">
        <f t="shared" si="17"/>
        <v>1112</v>
      </c>
      <c r="Q25" s="94">
        <f t="shared" si="17"/>
        <v>1112</v>
      </c>
      <c r="R25" s="106"/>
      <c r="S25" s="99">
        <f t="shared" si="5"/>
        <v>13344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03">
        <v>15.0</v>
      </c>
      <c r="C26" s="104"/>
      <c r="D26" s="93"/>
      <c r="E26" s="94">
        <f t="shared" ref="E26:Q26" si="18">1390*0.8</f>
        <v>1112</v>
      </c>
      <c r="F26" s="94">
        <f t="shared" si="18"/>
        <v>1112</v>
      </c>
      <c r="G26" s="94">
        <f t="shared" si="18"/>
        <v>1112</v>
      </c>
      <c r="H26" s="94">
        <f t="shared" si="18"/>
        <v>1112</v>
      </c>
      <c r="I26" s="94">
        <f t="shared" si="18"/>
        <v>1112</v>
      </c>
      <c r="J26" s="94">
        <f t="shared" si="18"/>
        <v>1112</v>
      </c>
      <c r="K26" s="94">
        <f t="shared" si="18"/>
        <v>1112</v>
      </c>
      <c r="L26" s="94">
        <f t="shared" si="18"/>
        <v>1112</v>
      </c>
      <c r="M26" s="94">
        <f t="shared" si="18"/>
        <v>1112</v>
      </c>
      <c r="N26" s="94">
        <f t="shared" si="18"/>
        <v>1112</v>
      </c>
      <c r="O26" s="94">
        <f t="shared" si="18"/>
        <v>1112</v>
      </c>
      <c r="P26" s="94">
        <f t="shared" si="18"/>
        <v>1112</v>
      </c>
      <c r="Q26" s="94">
        <f t="shared" si="18"/>
        <v>1112</v>
      </c>
      <c r="R26" s="106"/>
      <c r="S26" s="99">
        <f t="shared" si="5"/>
        <v>13344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03">
        <v>16.0</v>
      </c>
      <c r="C27" s="104"/>
      <c r="D27" s="93"/>
      <c r="E27" s="94">
        <f t="shared" ref="E27:Q27" si="19">1390*0.8</f>
        <v>1112</v>
      </c>
      <c r="F27" s="94">
        <f t="shared" si="19"/>
        <v>1112</v>
      </c>
      <c r="G27" s="94">
        <f t="shared" si="19"/>
        <v>1112</v>
      </c>
      <c r="H27" s="94">
        <f t="shared" si="19"/>
        <v>1112</v>
      </c>
      <c r="I27" s="94">
        <f t="shared" si="19"/>
        <v>1112</v>
      </c>
      <c r="J27" s="94">
        <f t="shared" si="19"/>
        <v>1112</v>
      </c>
      <c r="K27" s="94">
        <f t="shared" si="19"/>
        <v>1112</v>
      </c>
      <c r="L27" s="94">
        <f t="shared" si="19"/>
        <v>1112</v>
      </c>
      <c r="M27" s="94">
        <f t="shared" si="19"/>
        <v>1112</v>
      </c>
      <c r="N27" s="94">
        <f t="shared" si="19"/>
        <v>1112</v>
      </c>
      <c r="O27" s="94">
        <f t="shared" si="19"/>
        <v>1112</v>
      </c>
      <c r="P27" s="94">
        <f t="shared" si="19"/>
        <v>1112</v>
      </c>
      <c r="Q27" s="94">
        <f t="shared" si="19"/>
        <v>1112</v>
      </c>
      <c r="R27" s="106"/>
      <c r="S27" s="99">
        <f t="shared" si="5"/>
        <v>13344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03">
        <v>17.0</v>
      </c>
      <c r="C28" s="104"/>
      <c r="D28" s="93"/>
      <c r="E28" s="94">
        <f t="shared" ref="E28:Q28" si="20">1390*0.8</f>
        <v>1112</v>
      </c>
      <c r="F28" s="94">
        <f t="shared" si="20"/>
        <v>1112</v>
      </c>
      <c r="G28" s="94">
        <f t="shared" si="20"/>
        <v>1112</v>
      </c>
      <c r="H28" s="94">
        <f t="shared" si="20"/>
        <v>1112</v>
      </c>
      <c r="I28" s="94">
        <f t="shared" si="20"/>
        <v>1112</v>
      </c>
      <c r="J28" s="94">
        <f t="shared" si="20"/>
        <v>1112</v>
      </c>
      <c r="K28" s="94">
        <f t="shared" si="20"/>
        <v>1112</v>
      </c>
      <c r="L28" s="94">
        <f t="shared" si="20"/>
        <v>1112</v>
      </c>
      <c r="M28" s="94">
        <f t="shared" si="20"/>
        <v>1112</v>
      </c>
      <c r="N28" s="94">
        <f t="shared" si="20"/>
        <v>1112</v>
      </c>
      <c r="O28" s="94">
        <f t="shared" si="20"/>
        <v>1112</v>
      </c>
      <c r="P28" s="94">
        <f t="shared" si="20"/>
        <v>1112</v>
      </c>
      <c r="Q28" s="94">
        <f t="shared" si="20"/>
        <v>1112</v>
      </c>
      <c r="R28" s="106"/>
      <c r="S28" s="99">
        <f t="shared" si="5"/>
        <v>13344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03">
        <v>18.0</v>
      </c>
      <c r="C29" s="104"/>
      <c r="D29" s="93"/>
      <c r="E29" s="94">
        <f t="shared" ref="E29:Q29" si="21">1390*0.8</f>
        <v>1112</v>
      </c>
      <c r="F29" s="94">
        <f t="shared" si="21"/>
        <v>1112</v>
      </c>
      <c r="G29" s="94">
        <f t="shared" si="21"/>
        <v>1112</v>
      </c>
      <c r="H29" s="94">
        <f t="shared" si="21"/>
        <v>1112</v>
      </c>
      <c r="I29" s="94">
        <f t="shared" si="21"/>
        <v>1112</v>
      </c>
      <c r="J29" s="94">
        <f t="shared" si="21"/>
        <v>1112</v>
      </c>
      <c r="K29" s="94">
        <f t="shared" si="21"/>
        <v>1112</v>
      </c>
      <c r="L29" s="94">
        <f t="shared" si="21"/>
        <v>1112</v>
      </c>
      <c r="M29" s="94">
        <f t="shared" si="21"/>
        <v>1112</v>
      </c>
      <c r="N29" s="94">
        <f t="shared" si="21"/>
        <v>1112</v>
      </c>
      <c r="O29" s="94">
        <f t="shared" si="21"/>
        <v>1112</v>
      </c>
      <c r="P29" s="94">
        <f t="shared" si="21"/>
        <v>1112</v>
      </c>
      <c r="Q29" s="94">
        <f t="shared" si="21"/>
        <v>1112</v>
      </c>
      <c r="R29" s="106"/>
      <c r="S29" s="99">
        <f t="shared" si="5"/>
        <v>13344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03">
        <v>19.0</v>
      </c>
      <c r="C30" s="104"/>
      <c r="D30" s="93"/>
      <c r="E30" s="94">
        <f t="shared" ref="E30:Q30" si="22">1390*0.8</f>
        <v>1112</v>
      </c>
      <c r="F30" s="94">
        <f t="shared" si="22"/>
        <v>1112</v>
      </c>
      <c r="G30" s="94">
        <f t="shared" si="22"/>
        <v>1112</v>
      </c>
      <c r="H30" s="94">
        <f t="shared" si="22"/>
        <v>1112</v>
      </c>
      <c r="I30" s="94">
        <f t="shared" si="22"/>
        <v>1112</v>
      </c>
      <c r="J30" s="94">
        <f t="shared" si="22"/>
        <v>1112</v>
      </c>
      <c r="K30" s="94">
        <f t="shared" si="22"/>
        <v>1112</v>
      </c>
      <c r="L30" s="94">
        <f t="shared" si="22"/>
        <v>1112</v>
      </c>
      <c r="M30" s="94">
        <f t="shared" si="22"/>
        <v>1112</v>
      </c>
      <c r="N30" s="94">
        <f t="shared" si="22"/>
        <v>1112</v>
      </c>
      <c r="O30" s="94">
        <f t="shared" si="22"/>
        <v>1112</v>
      </c>
      <c r="P30" s="94">
        <f t="shared" si="22"/>
        <v>1112</v>
      </c>
      <c r="Q30" s="94">
        <f t="shared" si="22"/>
        <v>1112</v>
      </c>
      <c r="R30" s="106"/>
      <c r="S30" s="99">
        <f t="shared" si="5"/>
        <v>13344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03">
        <v>20.0</v>
      </c>
      <c r="C31" s="104"/>
      <c r="D31" s="93"/>
      <c r="E31" s="94">
        <f t="shared" ref="E31:Q31" si="23">1390*0.8</f>
        <v>1112</v>
      </c>
      <c r="F31" s="94">
        <f t="shared" si="23"/>
        <v>1112</v>
      </c>
      <c r="G31" s="94">
        <f t="shared" si="23"/>
        <v>1112</v>
      </c>
      <c r="H31" s="94">
        <f t="shared" si="23"/>
        <v>1112</v>
      </c>
      <c r="I31" s="94">
        <f t="shared" si="23"/>
        <v>1112</v>
      </c>
      <c r="J31" s="94">
        <f t="shared" si="23"/>
        <v>1112</v>
      </c>
      <c r="K31" s="94">
        <f t="shared" si="23"/>
        <v>1112</v>
      </c>
      <c r="L31" s="94">
        <f t="shared" si="23"/>
        <v>1112</v>
      </c>
      <c r="M31" s="94">
        <f t="shared" si="23"/>
        <v>1112</v>
      </c>
      <c r="N31" s="94">
        <f t="shared" si="23"/>
        <v>1112</v>
      </c>
      <c r="O31" s="94">
        <f t="shared" si="23"/>
        <v>1112</v>
      </c>
      <c r="P31" s="94">
        <f t="shared" si="23"/>
        <v>1112</v>
      </c>
      <c r="Q31" s="94">
        <f t="shared" si="23"/>
        <v>1112</v>
      </c>
      <c r="R31" s="106"/>
      <c r="S31" s="99">
        <f t="shared" si="5"/>
        <v>13344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95">
        <v>21.0</v>
      </c>
      <c r="C32" s="91"/>
      <c r="D32" s="93"/>
      <c r="E32" s="94"/>
      <c r="F32" s="120">
        <f t="shared" ref="F32:Q32" si="24">1390*0.8</f>
        <v>1112</v>
      </c>
      <c r="G32" s="94">
        <f t="shared" si="24"/>
        <v>1112</v>
      </c>
      <c r="H32" s="94">
        <f t="shared" si="24"/>
        <v>1112</v>
      </c>
      <c r="I32" s="94">
        <f t="shared" si="24"/>
        <v>1112</v>
      </c>
      <c r="J32" s="94">
        <f t="shared" si="24"/>
        <v>1112</v>
      </c>
      <c r="K32" s="94">
        <f t="shared" si="24"/>
        <v>1112</v>
      </c>
      <c r="L32" s="94">
        <f t="shared" si="24"/>
        <v>1112</v>
      </c>
      <c r="M32" s="94">
        <f t="shared" si="24"/>
        <v>1112</v>
      </c>
      <c r="N32" s="94">
        <f t="shared" si="24"/>
        <v>1112</v>
      </c>
      <c r="O32" s="94">
        <f t="shared" si="24"/>
        <v>1112</v>
      </c>
      <c r="P32" s="94">
        <f t="shared" si="24"/>
        <v>1112</v>
      </c>
      <c r="Q32" s="94">
        <f t="shared" si="24"/>
        <v>1112</v>
      </c>
      <c r="R32" s="106"/>
      <c r="S32" s="99">
        <f t="shared" si="5"/>
        <v>12232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5">
        <v>22.0</v>
      </c>
      <c r="C33" s="91"/>
      <c r="D33" s="93"/>
      <c r="E33" s="94"/>
      <c r="F33" s="94"/>
      <c r="G33" s="94">
        <f t="shared" ref="G33:Q33" si="25">1390*0.8</f>
        <v>1112</v>
      </c>
      <c r="H33" s="94">
        <f t="shared" si="25"/>
        <v>1112</v>
      </c>
      <c r="I33" s="94">
        <f t="shared" si="25"/>
        <v>1112</v>
      </c>
      <c r="J33" s="94">
        <f t="shared" si="25"/>
        <v>1112</v>
      </c>
      <c r="K33" s="94">
        <f t="shared" si="25"/>
        <v>1112</v>
      </c>
      <c r="L33" s="94">
        <f t="shared" si="25"/>
        <v>1112</v>
      </c>
      <c r="M33" s="94">
        <f t="shared" si="25"/>
        <v>1112</v>
      </c>
      <c r="N33" s="94">
        <f t="shared" si="25"/>
        <v>1112</v>
      </c>
      <c r="O33" s="94">
        <f t="shared" si="25"/>
        <v>1112</v>
      </c>
      <c r="P33" s="94">
        <f t="shared" si="25"/>
        <v>1112</v>
      </c>
      <c r="Q33" s="94">
        <f t="shared" si="25"/>
        <v>1112</v>
      </c>
      <c r="R33" s="106"/>
      <c r="S33" s="99">
        <f t="shared" si="5"/>
        <v>11120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5">
        <v>23.0</v>
      </c>
      <c r="C34" s="91"/>
      <c r="D34" s="93"/>
      <c r="E34" s="94"/>
      <c r="F34" s="94"/>
      <c r="G34" s="94"/>
      <c r="H34" s="94">
        <f t="shared" ref="H34:Q34" si="26">1390*0.8</f>
        <v>1112</v>
      </c>
      <c r="I34" s="94">
        <f t="shared" si="26"/>
        <v>1112</v>
      </c>
      <c r="J34" s="94">
        <f t="shared" si="26"/>
        <v>1112</v>
      </c>
      <c r="K34" s="94">
        <f t="shared" si="26"/>
        <v>1112</v>
      </c>
      <c r="L34" s="94">
        <f t="shared" si="26"/>
        <v>1112</v>
      </c>
      <c r="M34" s="94">
        <f t="shared" si="26"/>
        <v>1112</v>
      </c>
      <c r="N34" s="94">
        <f t="shared" si="26"/>
        <v>1112</v>
      </c>
      <c r="O34" s="94">
        <f t="shared" si="26"/>
        <v>1112</v>
      </c>
      <c r="P34" s="94">
        <f t="shared" si="26"/>
        <v>1112</v>
      </c>
      <c r="Q34" s="94">
        <f t="shared" si="26"/>
        <v>1112</v>
      </c>
      <c r="R34" s="106"/>
      <c r="S34" s="99">
        <f t="shared" si="5"/>
        <v>10008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95">
        <v>24.0</v>
      </c>
      <c r="C35" s="91"/>
      <c r="D35" s="93"/>
      <c r="E35" s="94"/>
      <c r="F35" s="94"/>
      <c r="G35" s="94"/>
      <c r="H35" s="94"/>
      <c r="I35" s="94">
        <f t="shared" ref="I35:Q35" si="27">1390*0.8</f>
        <v>1112</v>
      </c>
      <c r="J35" s="94">
        <f t="shared" si="27"/>
        <v>1112</v>
      </c>
      <c r="K35" s="94">
        <f t="shared" si="27"/>
        <v>1112</v>
      </c>
      <c r="L35" s="94">
        <f t="shared" si="27"/>
        <v>1112</v>
      </c>
      <c r="M35" s="94">
        <f t="shared" si="27"/>
        <v>1112</v>
      </c>
      <c r="N35" s="94">
        <f t="shared" si="27"/>
        <v>1112</v>
      </c>
      <c r="O35" s="94">
        <f t="shared" si="27"/>
        <v>1112</v>
      </c>
      <c r="P35" s="94">
        <f t="shared" si="27"/>
        <v>1112</v>
      </c>
      <c r="Q35" s="94">
        <f t="shared" si="27"/>
        <v>1112</v>
      </c>
      <c r="R35" s="106"/>
      <c r="S35" s="99">
        <f t="shared" si="5"/>
        <v>8896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95">
        <v>25.0</v>
      </c>
      <c r="C36" s="25"/>
      <c r="D36" s="25"/>
      <c r="E36" s="94"/>
      <c r="F36" s="94"/>
      <c r="G36" s="94"/>
      <c r="H36" s="94"/>
      <c r="I36" s="94"/>
      <c r="J36" s="94">
        <f t="shared" ref="J36:Q36" si="28">1390*0.8</f>
        <v>1112</v>
      </c>
      <c r="K36" s="94">
        <f t="shared" si="28"/>
        <v>1112</v>
      </c>
      <c r="L36" s="94">
        <f t="shared" si="28"/>
        <v>1112</v>
      </c>
      <c r="M36" s="94">
        <f t="shared" si="28"/>
        <v>1112</v>
      </c>
      <c r="N36" s="94">
        <f t="shared" si="28"/>
        <v>1112</v>
      </c>
      <c r="O36" s="94">
        <f t="shared" si="28"/>
        <v>1112</v>
      </c>
      <c r="P36" s="94">
        <f t="shared" si="28"/>
        <v>1112</v>
      </c>
      <c r="Q36" s="94">
        <f t="shared" si="28"/>
        <v>1112</v>
      </c>
      <c r="R36" s="106"/>
      <c r="S36" s="99">
        <f t="shared" si="5"/>
        <v>7784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20"/>
      <c r="C37" s="25"/>
      <c r="D37" s="25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6"/>
      <c r="R37" s="106"/>
      <c r="S37" s="107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20"/>
      <c r="C38" s="25"/>
      <c r="D38" s="25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6"/>
      <c r="R38" s="106"/>
      <c r="S38" s="107">
        <f>SUM(E38:P38)</f>
        <v>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28" t="s">
        <v>132</v>
      </c>
      <c r="C39" s="129"/>
      <c r="D39" s="129"/>
      <c r="E39" s="130">
        <v>3500.0</v>
      </c>
      <c r="F39" s="130">
        <f t="shared" ref="F39:Q39" si="29">$E$39</f>
        <v>3500</v>
      </c>
      <c r="G39" s="130">
        <f t="shared" si="29"/>
        <v>3500</v>
      </c>
      <c r="H39" s="130">
        <f t="shared" si="29"/>
        <v>3500</v>
      </c>
      <c r="I39" s="130">
        <f t="shared" si="29"/>
        <v>3500</v>
      </c>
      <c r="J39" s="130">
        <f t="shared" si="29"/>
        <v>3500</v>
      </c>
      <c r="K39" s="130">
        <f t="shared" si="29"/>
        <v>3500</v>
      </c>
      <c r="L39" s="130">
        <f t="shared" si="29"/>
        <v>3500</v>
      </c>
      <c r="M39" s="130">
        <f t="shared" si="29"/>
        <v>3500</v>
      </c>
      <c r="N39" s="130">
        <f t="shared" si="29"/>
        <v>3500</v>
      </c>
      <c r="O39" s="130">
        <f t="shared" si="29"/>
        <v>3500</v>
      </c>
      <c r="P39" s="130">
        <f t="shared" si="29"/>
        <v>3500</v>
      </c>
      <c r="Q39" s="130">
        <f t="shared" si="29"/>
        <v>3500</v>
      </c>
      <c r="R39" s="25"/>
      <c r="S39" s="13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28" t="s">
        <v>133</v>
      </c>
      <c r="C40" s="129"/>
      <c r="D40" s="129"/>
      <c r="E40" s="130">
        <v>3500.0</v>
      </c>
      <c r="F40" s="130">
        <f t="shared" ref="F40:Q40" si="30">$E$40</f>
        <v>3500</v>
      </c>
      <c r="G40" s="130">
        <f t="shared" si="30"/>
        <v>3500</v>
      </c>
      <c r="H40" s="130">
        <f t="shared" si="30"/>
        <v>3500</v>
      </c>
      <c r="I40" s="130">
        <f t="shared" si="30"/>
        <v>3500</v>
      </c>
      <c r="J40" s="130">
        <f t="shared" si="30"/>
        <v>3500</v>
      </c>
      <c r="K40" s="130">
        <f t="shared" si="30"/>
        <v>3500</v>
      </c>
      <c r="L40" s="130">
        <f t="shared" si="30"/>
        <v>3500</v>
      </c>
      <c r="M40" s="130">
        <f t="shared" si="30"/>
        <v>3500</v>
      </c>
      <c r="N40" s="130">
        <f t="shared" si="30"/>
        <v>3500</v>
      </c>
      <c r="O40" s="130">
        <f t="shared" si="30"/>
        <v>3500</v>
      </c>
      <c r="P40" s="130">
        <f t="shared" si="30"/>
        <v>3500</v>
      </c>
      <c r="Q40" s="130">
        <f t="shared" si="30"/>
        <v>3500</v>
      </c>
      <c r="R40" s="25"/>
      <c r="S40" s="13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14"/>
      <c r="C41" s="129"/>
      <c r="D41" s="129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25"/>
      <c r="R41" s="25"/>
      <c r="S41" s="13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E42" s="133">
        <f t="shared" ref="E42:Q42" si="31">sum(E12:E38)</f>
        <v>22518</v>
      </c>
      <c r="F42" s="133">
        <f t="shared" si="31"/>
        <v>23352</v>
      </c>
      <c r="G42" s="133">
        <f t="shared" si="31"/>
        <v>24464</v>
      </c>
      <c r="H42" s="133">
        <f t="shared" si="31"/>
        <v>25576</v>
      </c>
      <c r="I42" s="133">
        <f t="shared" si="31"/>
        <v>26688</v>
      </c>
      <c r="J42" s="133">
        <f t="shared" si="31"/>
        <v>27800</v>
      </c>
      <c r="K42" s="133">
        <f t="shared" si="31"/>
        <v>27800</v>
      </c>
      <c r="L42" s="133">
        <f t="shared" si="31"/>
        <v>27800</v>
      </c>
      <c r="M42" s="133">
        <f t="shared" si="31"/>
        <v>27800</v>
      </c>
      <c r="N42" s="133">
        <f t="shared" si="31"/>
        <v>27800</v>
      </c>
      <c r="O42" s="133">
        <f t="shared" si="31"/>
        <v>27800</v>
      </c>
      <c r="P42" s="133">
        <f t="shared" si="31"/>
        <v>27800</v>
      </c>
      <c r="Q42" s="133">
        <f t="shared" si="31"/>
        <v>27800</v>
      </c>
    </row>
    <row r="44">
      <c r="A44" s="1"/>
      <c r="B44" s="1"/>
      <c r="C44" s="25"/>
      <c r="D44" s="91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14" t="s">
        <v>84</v>
      </c>
      <c r="C45" s="74"/>
      <c r="D45" s="74"/>
      <c r="E45" s="134">
        <f>E42-sum(E39:E40)</f>
        <v>15518</v>
      </c>
      <c r="F45" s="115">
        <f t="shared" ref="F45:Q45" si="32">sum(F8:F38)-SUM(F39:F40)</f>
        <v>21870</v>
      </c>
      <c r="G45" s="115">
        <f t="shared" si="32"/>
        <v>29334</v>
      </c>
      <c r="H45" s="115">
        <f t="shared" si="32"/>
        <v>37910</v>
      </c>
      <c r="I45" s="115">
        <f t="shared" si="32"/>
        <v>47598</v>
      </c>
      <c r="J45" s="115">
        <f t="shared" si="32"/>
        <v>58398</v>
      </c>
      <c r="K45" s="115">
        <f t="shared" si="32"/>
        <v>79198</v>
      </c>
      <c r="L45" s="115">
        <f t="shared" si="32"/>
        <v>99998</v>
      </c>
      <c r="M45" s="115">
        <f t="shared" si="32"/>
        <v>120798</v>
      </c>
      <c r="N45" s="115">
        <f t="shared" si="32"/>
        <v>141598</v>
      </c>
      <c r="O45" s="115">
        <f t="shared" si="32"/>
        <v>162398</v>
      </c>
      <c r="P45" s="115">
        <f t="shared" si="32"/>
        <v>183198</v>
      </c>
      <c r="Q45" s="115">
        <f t="shared" si="32"/>
        <v>203998</v>
      </c>
      <c r="R45" s="135"/>
      <c r="S45" s="117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25"/>
      <c r="D46" s="25"/>
      <c r="E46" s="91">
        <v>10000.0</v>
      </c>
      <c r="F46" s="91">
        <v>10000.0</v>
      </c>
      <c r="G46" s="91">
        <v>10000.0</v>
      </c>
      <c r="H46" s="91">
        <v>10000.0</v>
      </c>
      <c r="I46" s="91">
        <v>10000.0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</sheetData>
  <mergeCells count="3">
    <mergeCell ref="B1:S1"/>
    <mergeCell ref="B2:S2"/>
    <mergeCell ref="S7:S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2.29"/>
    <col customWidth="1" min="7" max="7" width="13.14"/>
    <col customWidth="1" min="8" max="8" width="12.86"/>
    <col customWidth="1" min="9" max="9" width="11.14"/>
  </cols>
  <sheetData>
    <row r="4">
      <c r="D4" s="11" t="s">
        <v>1</v>
      </c>
      <c r="E4" s="11" t="s">
        <v>2</v>
      </c>
      <c r="F4" s="11" t="s">
        <v>3</v>
      </c>
      <c r="G4" s="11" t="s">
        <v>6</v>
      </c>
      <c r="H4" s="11" t="s">
        <v>7</v>
      </c>
      <c r="I4" s="11" t="s">
        <v>8</v>
      </c>
      <c r="J4" s="16"/>
      <c r="K4" s="16"/>
      <c r="L4" s="18" t="s">
        <v>9</v>
      </c>
      <c r="M4" s="21" t="s">
        <v>11</v>
      </c>
    </row>
    <row r="5">
      <c r="B5" s="24" t="s">
        <v>12</v>
      </c>
      <c r="C5" s="21" t="s">
        <v>14</v>
      </c>
      <c r="D5" s="27">
        <v>60.0</v>
      </c>
      <c r="E5" s="28"/>
      <c r="F5" s="28"/>
      <c r="G5" s="27">
        <v>1390.0</v>
      </c>
      <c r="H5" s="28"/>
      <c r="I5" s="30"/>
      <c r="J5" s="16"/>
      <c r="K5" s="16"/>
      <c r="L5" s="31" t="s">
        <v>16</v>
      </c>
      <c r="M5" s="31" t="s">
        <v>17</v>
      </c>
    </row>
    <row r="6">
      <c r="B6" s="24" t="s">
        <v>18</v>
      </c>
      <c r="C6" s="24" t="s">
        <v>19</v>
      </c>
      <c r="D6" s="28"/>
      <c r="E6" s="28"/>
      <c r="F6" s="27">
        <v>375.0</v>
      </c>
      <c r="G6" s="27">
        <v>1290.0</v>
      </c>
      <c r="H6" s="28"/>
      <c r="I6" s="34">
        <v>60.0</v>
      </c>
      <c r="J6" s="16"/>
      <c r="K6" s="16"/>
      <c r="L6" s="31" t="s">
        <v>21</v>
      </c>
      <c r="M6" s="31" t="s">
        <v>22</v>
      </c>
    </row>
    <row r="7">
      <c r="B7" s="36" t="s">
        <v>23</v>
      </c>
      <c r="C7" s="24" t="s">
        <v>25</v>
      </c>
      <c r="D7" s="27" t="s">
        <v>26</v>
      </c>
      <c r="E7" s="28"/>
      <c r="F7" s="27">
        <v>395.0</v>
      </c>
      <c r="G7" s="27">
        <v>1450.0</v>
      </c>
      <c r="H7" s="28"/>
      <c r="I7" s="34">
        <v>65.0</v>
      </c>
      <c r="J7" s="16" t="s">
        <v>28</v>
      </c>
      <c r="K7" s="16"/>
      <c r="L7" s="31" t="s">
        <v>29</v>
      </c>
      <c r="M7" s="31" t="s">
        <v>30</v>
      </c>
    </row>
    <row r="8">
      <c r="B8" s="24" t="s">
        <v>33</v>
      </c>
      <c r="C8" s="24" t="s">
        <v>34</v>
      </c>
      <c r="D8" s="27">
        <v>55.0</v>
      </c>
      <c r="E8" s="28"/>
      <c r="F8" s="28"/>
      <c r="G8" s="27">
        <v>1450.0</v>
      </c>
      <c r="H8" s="28"/>
      <c r="I8" s="30"/>
      <c r="J8" s="16"/>
      <c r="K8" s="16"/>
      <c r="L8" s="31" t="s">
        <v>42</v>
      </c>
    </row>
    <row r="10">
      <c r="B10" s="44" t="s">
        <v>44</v>
      </c>
      <c r="C10" s="21" t="s">
        <v>46</v>
      </c>
      <c r="D10" s="34">
        <v>200.0</v>
      </c>
      <c r="E10" s="30"/>
      <c r="F10" s="30"/>
      <c r="G10" s="30"/>
      <c r="H10" s="30"/>
    </row>
    <row r="11">
      <c r="B11" s="49"/>
      <c r="C11" s="21" t="s">
        <v>47</v>
      </c>
      <c r="D11" s="34">
        <v>500.0</v>
      </c>
      <c r="E11" s="30"/>
      <c r="F11" s="30"/>
      <c r="G11" s="30"/>
      <c r="H11" s="30"/>
    </row>
    <row r="14">
      <c r="D14" s="55" t="s">
        <v>50</v>
      </c>
      <c r="E14" s="57"/>
      <c r="F14" s="58"/>
    </row>
    <row r="15">
      <c r="C15" s="59" t="s">
        <v>51</v>
      </c>
      <c r="D15" s="60" t="s">
        <v>52</v>
      </c>
      <c r="E15" s="57"/>
      <c r="F15" s="58"/>
    </row>
    <row r="16">
      <c r="C16" s="59" t="s">
        <v>53</v>
      </c>
      <c r="D16" s="60" t="s">
        <v>54</v>
      </c>
      <c r="E16" s="57"/>
      <c r="F16" s="58"/>
    </row>
    <row r="17">
      <c r="C17" s="59" t="s">
        <v>55</v>
      </c>
      <c r="D17" s="60" t="s">
        <v>56</v>
      </c>
      <c r="E17" s="57"/>
      <c r="F17" s="58"/>
    </row>
    <row r="18">
      <c r="C18" s="59" t="s">
        <v>57</v>
      </c>
      <c r="D18" s="60" t="s">
        <v>58</v>
      </c>
      <c r="E18" s="57"/>
      <c r="F18" s="58"/>
    </row>
  </sheetData>
  <mergeCells count="6">
    <mergeCell ref="B10:B11"/>
    <mergeCell ref="D14:F14"/>
    <mergeCell ref="D15:F15"/>
    <mergeCell ref="D16:F16"/>
    <mergeCell ref="D17:F17"/>
    <mergeCell ref="D18:F1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2026-07-01T04:46:57Z</dcterms:created>
  <dc:creator>openpyxl</dc:creator>
</cp:coreProperties>
</file>